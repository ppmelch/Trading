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pmel\Documentos\ITESO 7mo Semestre\Administración de Riesgo\Parcial 1\C 3\"/>
    </mc:Choice>
  </mc:AlternateContent>
  <xr:revisionPtr revIDLastSave="0" documentId="13_ncr:1_{3D7D7810-C949-42C7-955D-066D92A44FB1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USDJPY" sheetId="1" r:id="rId1"/>
    <sheet name="CHF" sheetId="4" r:id="rId2"/>
    <sheet name="VaR con Macro" sheetId="5" r:id="rId3"/>
  </sheets>
  <definedNames>
    <definedName name="_xlchart.v1.0" hidden="1">USDJPY!$D$3:$D$163</definedName>
    <definedName name="_xlchart.v1.1" hidden="1">USDJPY!$D$3:$D$163</definedName>
    <definedName name="_xlchart.v1.2" hidden="1">CHF!$D$3:$D$425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4" l="1"/>
  <c r="N25" i="4"/>
  <c r="I23" i="4"/>
  <c r="I2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I20" i="4"/>
  <c r="I21" i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D3" i="1"/>
  <c r="I24" i="1"/>
  <c r="O25" i="1" s="1"/>
  <c r="I22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2" i="1"/>
  <c r="I21" i="4" l="1"/>
  <c r="I23" i="1"/>
</calcChain>
</file>

<file path=xl/sharedStrings.xml><?xml version="1.0" encoding="utf-8"?>
<sst xmlns="http://schemas.openxmlformats.org/spreadsheetml/2006/main" count="29" uniqueCount="22">
  <si>
    <t>date</t>
  </si>
  <si>
    <t>USD-&gt;JPY</t>
  </si>
  <si>
    <t>JPY-&gt;USD</t>
  </si>
  <si>
    <t>Rendimientos</t>
  </si>
  <si>
    <t>Nivel de Confianza</t>
  </si>
  <si>
    <t>Percentil 95%</t>
  </si>
  <si>
    <t xml:space="preserve">Monto de exposición </t>
  </si>
  <si>
    <t>VaR @ 95% Diario</t>
  </si>
  <si>
    <t>Interpretación:</t>
  </si>
  <si>
    <t>La perdida máxima que podemos sufrir en los 95% de los casos por día</t>
  </si>
  <si>
    <t>CvarR @95% Diario</t>
  </si>
  <si>
    <t xml:space="preserve">En promedio la perdida que se tiene cuando se excede al VaR es de </t>
  </si>
  <si>
    <t>Rendimiento</t>
  </si>
  <si>
    <t>CvarR @96% Diario</t>
  </si>
  <si>
    <t>VaR @ 96% Diario</t>
  </si>
  <si>
    <t>Percentil 4%</t>
  </si>
  <si>
    <t>USD-&gt;CHF</t>
  </si>
  <si>
    <t>CHF-&gt; USD</t>
  </si>
  <si>
    <t>Interpretación</t>
  </si>
  <si>
    <t>La perdida máxima que podemos sufrir en los 96% de los casos al Día</t>
  </si>
  <si>
    <t xml:space="preserve">En promedio la perdida que se tiene cuando se excede es de </t>
  </si>
  <si>
    <t>CHF-&gt;USD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</si>
</sst>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000000000000E+00"/>
  </numFmts>
  <fonts count="3" x14ac:knownFonts="1">
    <font>
      <sz val="11"/>
      <color rgb="FF000000"/>
      <name val="Calibri"/>
      <family val="2"/>
      <scheme val="minor"/>
    </font>
    <font>
      <sz val="11"/>
      <color rgb="FF000000"/>
      <name val="Calibri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14" fontId="1" fillId="0" borderId="0" xfId="0" applyNumberFormat="1" applyFont="1"/>
    <xf numFmtId="10" fontId="0" fillId="0" borderId="0" xfId="2" applyNumberFormat="1" applyFont="1"/>
    <xf numFmtId="44" fontId="0" fillId="0" borderId="0" xfId="1" applyFont="1"/>
    <xf numFmtId="44" fontId="0" fillId="0" borderId="0" xfId="0" applyNumberFormat="1"/>
    <xf numFmtId="164" fontId="0" fillId="0" borderId="0" xfId="0" applyNumberFormat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Rendmientos Históricos JPY-&gt;USD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Rendmientos Históricos JPY-&gt;USD</a:t>
          </a:r>
        </a:p>
      </cx:txPr>
    </cx:title>
    <cx:plotArea>
      <cx:plotAreaRegion>
        <cx:series layoutId="clusteredColumn" uniqueId="{9D8F11C2-4D24-4DF8-BD0A-BC8DF6487BFF}">
          <cx:spPr>
            <a:ln w="6350">
              <a:solidFill>
                <a:schemeClr val="tx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Rendmientos Históricos JPY-&gt;USD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Rendmientos Históricos JPY-&gt;USD</a:t>
          </a:r>
        </a:p>
      </cx:txPr>
    </cx:title>
    <cx:plotArea>
      <cx:plotAreaRegion>
        <cx:series layoutId="clusteredColumn" uniqueId="{9D8F11C2-4D24-4DF8-BD0A-BC8DF6487BFF}">
          <cx:spPr>
            <a:ln w="6350">
              <a:solidFill>
                <a:schemeClr val="tx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Rendimientos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Rendimientos</a:t>
          </a:r>
        </a:p>
      </cx:txPr>
    </cx:title>
    <cx:plotArea>
      <cx:plotAreaRegion>
        <cx:series layoutId="clusteredColumn" uniqueId="{7A38DFBE-7640-4269-8C70-CF0DF5A6288B}">
          <cx:spPr>
            <a:ln>
              <a:solidFill>
                <a:schemeClr val="tx1"/>
              </a:solidFill>
            </a:ln>
          </cx:spPr>
          <cx:dataId val="0"/>
          <cx:layoutPr>
            <cx:binning intervalClosed="r">
              <cx:binCount val="10"/>
            </cx:binning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702468</xdr:colOff>
      <xdr:row>3</xdr:row>
      <xdr:rowOff>61912</xdr:rowOff>
    </xdr:from>
    <xdr:to>
      <xdr:col>10</xdr:col>
      <xdr:colOff>702468</xdr:colOff>
      <xdr:row>18</xdr:row>
      <xdr:rowOff>90487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68DB773C-7DA2-E921-38C8-496D85002C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50468" y="604837"/>
              <a:ext cx="4586288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9</xdr:col>
      <xdr:colOff>123825</xdr:colOff>
      <xdr:row>11</xdr:row>
      <xdr:rowOff>52388</xdr:rowOff>
    </xdr:from>
    <xdr:to>
      <xdr:col>10</xdr:col>
      <xdr:colOff>647700</xdr:colOff>
      <xdr:row>15</xdr:row>
      <xdr:rowOff>109538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751067B-1B23-0831-E9C8-41E05AE1D474}"/>
            </a:ext>
          </a:extLst>
        </xdr:cNvPr>
        <xdr:cNvSpPr txBox="1"/>
      </xdr:nvSpPr>
      <xdr:spPr>
        <a:xfrm>
          <a:off x="7743825" y="27560588"/>
          <a:ext cx="1285875" cy="781050"/>
        </a:xfrm>
        <a:prstGeom prst="rect">
          <a:avLst/>
        </a:prstGeom>
        <a:noFill/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5%</a:t>
          </a:r>
        </a:p>
      </xdr:txBody>
    </xdr:sp>
    <xdr:clientData/>
  </xdr:twoCellAnchor>
  <xdr:twoCellAnchor>
    <xdr:from>
      <xdr:col>9</xdr:col>
      <xdr:colOff>234221</xdr:colOff>
      <xdr:row>8</xdr:row>
      <xdr:rowOff>156148</xdr:rowOff>
    </xdr:from>
    <xdr:to>
      <xdr:col>9</xdr:col>
      <xdr:colOff>238124</xdr:colOff>
      <xdr:row>15</xdr:row>
      <xdr:rowOff>163955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DE2F3FF0-B399-A4AF-F8BF-06EACD60B529}"/>
            </a:ext>
          </a:extLst>
        </xdr:cNvPr>
        <xdr:cNvCxnSpPr/>
      </xdr:nvCxnSpPr>
      <xdr:spPr>
        <a:xfrm flipV="1">
          <a:off x="7085195" y="1592705"/>
          <a:ext cx="3903" cy="12647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11710</xdr:colOff>
      <xdr:row>7</xdr:row>
      <xdr:rowOff>97592</xdr:rowOff>
    </xdr:from>
    <xdr:to>
      <xdr:col>9</xdr:col>
      <xdr:colOff>515286</xdr:colOff>
      <xdr:row>9</xdr:row>
      <xdr:rowOff>152244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F7CB1291-642C-7F7C-E1D3-3FAD381CB841}"/>
            </a:ext>
          </a:extLst>
        </xdr:cNvPr>
        <xdr:cNvSpPr txBox="1"/>
      </xdr:nvSpPr>
      <xdr:spPr>
        <a:xfrm>
          <a:off x="6862684" y="1354580"/>
          <a:ext cx="503576" cy="413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P95</a:t>
          </a:r>
        </a:p>
      </xdr:txBody>
    </xdr:sp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1</xdr:colOff>
      <xdr:row>42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DAF1227A-D893-4059-9215-0587F8209B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00" y="4886325"/>
              <a:ext cx="4586289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376238</xdr:colOff>
      <xdr:row>2</xdr:row>
      <xdr:rowOff>152400</xdr:rowOff>
    </xdr:from>
    <xdr:to>
      <xdr:col>11</xdr:col>
      <xdr:colOff>376238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F95FDDF9-491D-4914-9362-28ECB7F218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86238" y="514350"/>
              <a:ext cx="501491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5</xdr:col>
      <xdr:colOff>728663</xdr:colOff>
      <xdr:row>10</xdr:row>
      <xdr:rowOff>80963</xdr:rowOff>
    </xdr:from>
    <xdr:to>
      <xdr:col>7</xdr:col>
      <xdr:colOff>109538</xdr:colOff>
      <xdr:row>14</xdr:row>
      <xdr:rowOff>176213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45025FD-5287-029A-F31A-699E7DD12F7C}"/>
            </a:ext>
          </a:extLst>
        </xdr:cNvPr>
        <xdr:cNvSpPr txBox="1"/>
      </xdr:nvSpPr>
      <xdr:spPr>
        <a:xfrm>
          <a:off x="4538663" y="1890713"/>
          <a:ext cx="904875" cy="81915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4%</a:t>
          </a:r>
        </a:p>
      </xdr:txBody>
    </xdr:sp>
    <xdr:clientData/>
  </xdr:twoCellAnchor>
  <xdr:twoCellAnchor>
    <xdr:from>
      <xdr:col>6</xdr:col>
      <xdr:colOff>57150</xdr:colOff>
      <xdr:row>8</xdr:row>
      <xdr:rowOff>61913</xdr:rowOff>
    </xdr:from>
    <xdr:to>
      <xdr:col>6</xdr:col>
      <xdr:colOff>85725</xdr:colOff>
      <xdr:row>14</xdr:row>
      <xdr:rowOff>128588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C0744A61-F813-4A93-5C77-C64C49F467A6}"/>
            </a:ext>
          </a:extLst>
        </xdr:cNvPr>
        <xdr:cNvCxnSpPr/>
      </xdr:nvCxnSpPr>
      <xdr:spPr>
        <a:xfrm flipV="1">
          <a:off x="4629150" y="1509713"/>
          <a:ext cx="28575" cy="1152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757238</xdr:colOff>
      <xdr:row>6</xdr:row>
      <xdr:rowOff>23813</xdr:rowOff>
    </xdr:from>
    <xdr:to>
      <xdr:col>6</xdr:col>
      <xdr:colOff>585788</xdr:colOff>
      <xdr:row>7</xdr:row>
      <xdr:rowOff>128588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EB9A9E44-3604-4B95-7D95-975D35481ACA}"/>
            </a:ext>
          </a:extLst>
        </xdr:cNvPr>
        <xdr:cNvSpPr txBox="1"/>
      </xdr:nvSpPr>
      <xdr:spPr>
        <a:xfrm>
          <a:off x="4567238" y="1109663"/>
          <a:ext cx="5905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P96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63"/>
  <sheetViews>
    <sheetView topLeftCell="C1" workbookViewId="0">
      <selection activeCell="N14" sqref="N14"/>
    </sheetView>
  </sheetViews>
  <sheetFormatPr baseColWidth="10" defaultRowHeight="14.25" x14ac:dyDescent="0.45"/>
  <cols>
    <col min="9" max="9" width="10.86328125" bestFit="1" customWidth="1"/>
    <col min="14" max="14" width="12.33203125" customWidth="1"/>
  </cols>
  <sheetData>
    <row r="1" spans="1:4" x14ac:dyDescent="0.45">
      <c r="A1" t="s">
        <v>0</v>
      </c>
      <c r="B1" t="s">
        <v>1</v>
      </c>
      <c r="C1" t="s">
        <v>2</v>
      </c>
      <c r="D1" t="s">
        <v>3</v>
      </c>
    </row>
    <row r="2" spans="1:4" x14ac:dyDescent="0.45">
      <c r="A2" s="1">
        <v>45659</v>
      </c>
      <c r="B2">
        <v>157.718994140625</v>
      </c>
      <c r="C2">
        <f>1/B2</f>
        <v>6.3403904231622392E-3</v>
      </c>
    </row>
    <row r="3" spans="1:4" x14ac:dyDescent="0.45">
      <c r="A3" s="1">
        <v>45660</v>
      </c>
      <c r="B3">
        <v>157.36199951171901</v>
      </c>
      <c r="C3">
        <f t="shared" ref="C3:C66" si="0">1/B3</f>
        <v>6.3547743616814449E-3</v>
      </c>
      <c r="D3">
        <f>LN(C3)-LN(C2)</f>
        <v>2.2660508812757385E-3</v>
      </c>
    </row>
    <row r="4" spans="1:4" x14ac:dyDescent="0.45">
      <c r="A4" s="1">
        <v>45663</v>
      </c>
      <c r="B4">
        <v>157.48100280761699</v>
      </c>
      <c r="C4">
        <f t="shared" si="0"/>
        <v>6.3499722644110084E-3</v>
      </c>
      <c r="D4">
        <f t="shared" ref="D4:D67" si="1">LN(C4)-LN(C3)</f>
        <v>-7.5595328902622327E-4</v>
      </c>
    </row>
    <row r="5" spans="1:4" x14ac:dyDescent="0.45">
      <c r="A5" s="1">
        <v>45664</v>
      </c>
      <c r="B5">
        <v>157.74299621582</v>
      </c>
      <c r="C5">
        <f t="shared" si="0"/>
        <v>6.3394256733390886E-3</v>
      </c>
      <c r="D5">
        <f t="shared" si="1"/>
        <v>-1.6622685413656413E-3</v>
      </c>
    </row>
    <row r="6" spans="1:4" x14ac:dyDescent="0.45">
      <c r="A6" s="1">
        <v>45665</v>
      </c>
      <c r="B6">
        <v>158.23599243164099</v>
      </c>
      <c r="C6">
        <f t="shared" si="0"/>
        <v>6.3196747126416687E-3</v>
      </c>
      <c r="D6">
        <f t="shared" si="1"/>
        <v>-3.1204392289643224E-3</v>
      </c>
    </row>
    <row r="7" spans="1:4" x14ac:dyDescent="0.45">
      <c r="A7" s="1">
        <v>45666</v>
      </c>
      <c r="B7">
        <v>158.19200134277301</v>
      </c>
      <c r="C7">
        <f t="shared" si="0"/>
        <v>6.3214321300176469E-3</v>
      </c>
      <c r="D7">
        <f t="shared" si="1"/>
        <v>2.7804802366926396E-4</v>
      </c>
    </row>
    <row r="8" spans="1:4" x14ac:dyDescent="0.45">
      <c r="A8" s="1">
        <v>45667</v>
      </c>
      <c r="B8">
        <v>158.04800415039099</v>
      </c>
      <c r="C8">
        <f t="shared" si="0"/>
        <v>6.3271915730643922E-3</v>
      </c>
      <c r="D8">
        <f t="shared" si="1"/>
        <v>9.1068302449226479E-4</v>
      </c>
    </row>
    <row r="9" spans="1:4" x14ac:dyDescent="0.45">
      <c r="A9" s="1">
        <v>45670</v>
      </c>
      <c r="B9">
        <v>157.88699340820301</v>
      </c>
      <c r="C9">
        <f t="shared" si="0"/>
        <v>6.3336439463039709E-3</v>
      </c>
      <c r="D9">
        <f t="shared" si="1"/>
        <v>1.0192650853610985E-3</v>
      </c>
    </row>
    <row r="10" spans="1:4" x14ac:dyDescent="0.45">
      <c r="A10" s="1">
        <v>45671</v>
      </c>
      <c r="B10">
        <v>157.36399841308599</v>
      </c>
      <c r="C10">
        <f t="shared" si="0"/>
        <v>6.354693640758702E-3</v>
      </c>
      <c r="D10">
        <f t="shared" si="1"/>
        <v>3.3179624393522289E-3</v>
      </c>
    </row>
    <row r="11" spans="1:4" x14ac:dyDescent="0.45">
      <c r="A11" s="1">
        <v>45672</v>
      </c>
      <c r="B11">
        <v>158.05000305175801</v>
      </c>
      <c r="C11">
        <f t="shared" si="0"/>
        <v>6.3271115513520194E-3</v>
      </c>
      <c r="D11">
        <f t="shared" si="1"/>
        <v>-4.3498748766195305E-3</v>
      </c>
    </row>
    <row r="12" spans="1:4" x14ac:dyDescent="0.45">
      <c r="A12" s="1">
        <v>45673</v>
      </c>
      <c r="B12">
        <v>156.25500488281199</v>
      </c>
      <c r="C12">
        <f t="shared" si="0"/>
        <v>6.399795006566217E-3</v>
      </c>
      <c r="D12">
        <f t="shared" si="1"/>
        <v>1.1422138616921984E-2</v>
      </c>
    </row>
    <row r="13" spans="1:4" x14ac:dyDescent="0.45">
      <c r="A13" s="1">
        <v>45674</v>
      </c>
      <c r="B13">
        <v>155.35600280761699</v>
      </c>
      <c r="C13">
        <f t="shared" si="0"/>
        <v>6.4368288442535207E-3</v>
      </c>
      <c r="D13">
        <f t="shared" si="1"/>
        <v>5.7700437227392598E-3</v>
      </c>
    </row>
    <row r="14" spans="1:4" x14ac:dyDescent="0.45">
      <c r="A14" s="1">
        <v>45677</v>
      </c>
      <c r="B14">
        <v>156.30599975585901</v>
      </c>
      <c r="C14">
        <f t="shared" si="0"/>
        <v>6.3977070717819058E-3</v>
      </c>
      <c r="D14">
        <f t="shared" si="1"/>
        <v>-6.0963472138508834E-3</v>
      </c>
    </row>
    <row r="15" spans="1:4" x14ac:dyDescent="0.45">
      <c r="A15" s="1">
        <v>45678</v>
      </c>
      <c r="B15">
        <v>155.24899291992199</v>
      </c>
      <c r="C15">
        <f t="shared" si="0"/>
        <v>6.4412656159116202E-3</v>
      </c>
      <c r="D15">
        <f t="shared" si="1"/>
        <v>6.785388880280685E-3</v>
      </c>
    </row>
    <row r="16" spans="1:4" x14ac:dyDescent="0.45">
      <c r="A16" s="1">
        <v>45679</v>
      </c>
      <c r="B16">
        <v>155.774002075195</v>
      </c>
      <c r="C16">
        <f t="shared" si="0"/>
        <v>6.4195564515141714E-3</v>
      </c>
      <c r="D16">
        <f t="shared" si="1"/>
        <v>-3.3760182518367543E-3</v>
      </c>
    </row>
    <row r="17" spans="1:15" x14ac:dyDescent="0.45">
      <c r="A17" s="1">
        <v>45680</v>
      </c>
      <c r="B17">
        <v>156.44000244140599</v>
      </c>
      <c r="C17">
        <f t="shared" si="0"/>
        <v>6.3922269521476524E-3</v>
      </c>
      <c r="D17">
        <f t="shared" si="1"/>
        <v>-4.2663132771494361E-3</v>
      </c>
    </row>
    <row r="18" spans="1:15" x14ac:dyDescent="0.45">
      <c r="A18" s="1">
        <v>45681</v>
      </c>
      <c r="B18">
        <v>156.15499877929699</v>
      </c>
      <c r="C18">
        <f t="shared" si="0"/>
        <v>6.4038936173497632E-3</v>
      </c>
      <c r="D18">
        <f t="shared" si="1"/>
        <v>1.8234696010290818E-3</v>
      </c>
    </row>
    <row r="19" spans="1:15" x14ac:dyDescent="0.45">
      <c r="A19" s="1">
        <v>45684</v>
      </c>
      <c r="B19">
        <v>155.74400329589801</v>
      </c>
      <c r="C19">
        <f t="shared" si="0"/>
        <v>6.4207929604846491E-3</v>
      </c>
      <c r="D19">
        <f t="shared" si="1"/>
        <v>2.6354410789828364E-3</v>
      </c>
    </row>
    <row r="20" spans="1:15" x14ac:dyDescent="0.45">
      <c r="A20" s="1">
        <v>45685</v>
      </c>
      <c r="B20">
        <v>154.90899658203099</v>
      </c>
      <c r="C20">
        <f t="shared" si="0"/>
        <v>6.4554029918491972E-3</v>
      </c>
      <c r="D20">
        <f t="shared" si="1"/>
        <v>5.3758291414318649E-3</v>
      </c>
      <c r="G20" t="s">
        <v>4</v>
      </c>
      <c r="I20" s="6">
        <v>0.95</v>
      </c>
    </row>
    <row r="21" spans="1:15" x14ac:dyDescent="0.45">
      <c r="A21" s="1">
        <v>45686</v>
      </c>
      <c r="B21">
        <v>155.559005737305</v>
      </c>
      <c r="C21">
        <f t="shared" si="0"/>
        <v>6.428428847692149E-3</v>
      </c>
      <c r="D21">
        <f t="shared" si="1"/>
        <v>-4.1872920890906329E-3</v>
      </c>
      <c r="G21" t="s">
        <v>5</v>
      </c>
      <c r="I21" s="2">
        <f>PERCENTILE(D:D,0.95)</f>
        <v>1.1159411895398819E-2</v>
      </c>
    </row>
    <row r="22" spans="1:15" x14ac:dyDescent="0.45">
      <c r="A22" s="1">
        <v>45687</v>
      </c>
      <c r="B22">
        <v>155.169998168945</v>
      </c>
      <c r="C22">
        <f t="shared" si="0"/>
        <v>6.4445447689651086E-3</v>
      </c>
      <c r="D22">
        <f t="shared" si="1"/>
        <v>2.5038394659047114E-3</v>
      </c>
      <c r="G22" t="s">
        <v>6</v>
      </c>
      <c r="I22" s="3">
        <f>10000000*C163</f>
        <v>67605.938338259293</v>
      </c>
      <c r="J22" t="s">
        <v>8</v>
      </c>
    </row>
    <row r="23" spans="1:15" x14ac:dyDescent="0.45">
      <c r="A23" s="1">
        <v>45688</v>
      </c>
      <c r="B23">
        <v>154.09700012207</v>
      </c>
      <c r="C23">
        <f t="shared" si="0"/>
        <v>6.4894189971760425E-3</v>
      </c>
      <c r="D23">
        <f t="shared" si="1"/>
        <v>6.9390032443470417E-3</v>
      </c>
      <c r="G23" t="s">
        <v>7</v>
      </c>
      <c r="I23" s="4">
        <f>I21*I22</f>
        <v>754.4425124915698</v>
      </c>
      <c r="J23" t="s">
        <v>9</v>
      </c>
    </row>
    <row r="24" spans="1:15" x14ac:dyDescent="0.45">
      <c r="A24" s="1">
        <v>45691</v>
      </c>
      <c r="B24">
        <v>155.36300659179699</v>
      </c>
      <c r="C24">
        <f t="shared" si="0"/>
        <v>6.4365386711871149E-3</v>
      </c>
      <c r="D24">
        <f t="shared" si="1"/>
        <v>-8.1820817239073307E-3</v>
      </c>
      <c r="G24" t="s">
        <v>10</v>
      </c>
      <c r="I24" s="4">
        <f>AVERAGEIF(D:D,"&gt;0.0112")*I22</f>
        <v>1035.4976267517379</v>
      </c>
      <c r="J24" t="s">
        <v>8</v>
      </c>
    </row>
    <row r="25" spans="1:15" x14ac:dyDescent="0.45">
      <c r="A25" s="1">
        <v>45692</v>
      </c>
      <c r="B25">
        <v>155.27699279785199</v>
      </c>
      <c r="C25">
        <f t="shared" si="0"/>
        <v>6.4401041131821393E-3</v>
      </c>
      <c r="D25">
        <f t="shared" si="1"/>
        <v>5.5378442127285155E-4</v>
      </c>
      <c r="J25" t="s">
        <v>11</v>
      </c>
      <c r="O25" s="4">
        <f>I24</f>
        <v>1035.4976267517379</v>
      </c>
    </row>
    <row r="26" spans="1:15" x14ac:dyDescent="0.45">
      <c r="A26" s="1">
        <v>45693</v>
      </c>
      <c r="B26">
        <v>154.13299560546901</v>
      </c>
      <c r="C26">
        <f t="shared" si="0"/>
        <v>6.4879034892676652E-3</v>
      </c>
      <c r="D26">
        <f t="shared" si="1"/>
        <v>7.394734806695169E-3</v>
      </c>
    </row>
    <row r="27" spans="1:15" x14ac:dyDescent="0.45">
      <c r="A27" s="1">
        <v>45694</v>
      </c>
      <c r="B27">
        <v>152.60600280761699</v>
      </c>
      <c r="C27">
        <f t="shared" si="0"/>
        <v>6.5528221800072416E-3</v>
      </c>
      <c r="D27">
        <f t="shared" si="1"/>
        <v>9.9563825917634574E-3</v>
      </c>
    </row>
    <row r="28" spans="1:15" x14ac:dyDescent="0.45">
      <c r="A28" s="1">
        <v>45695</v>
      </c>
      <c r="B28">
        <v>151.19299316406199</v>
      </c>
      <c r="C28">
        <f t="shared" si="0"/>
        <v>6.6140631194124434E-3</v>
      </c>
      <c r="D28">
        <f t="shared" si="1"/>
        <v>9.3023337908011428E-3</v>
      </c>
    </row>
    <row r="29" spans="1:15" x14ac:dyDescent="0.45">
      <c r="A29" s="1">
        <v>45698</v>
      </c>
      <c r="B29">
        <v>151.84599304199199</v>
      </c>
      <c r="C29">
        <f t="shared" si="0"/>
        <v>6.5856199427235243E-3</v>
      </c>
      <c r="D29">
        <f t="shared" si="1"/>
        <v>-4.3096823732504674E-3</v>
      </c>
    </row>
    <row r="30" spans="1:15" x14ac:dyDescent="0.45">
      <c r="A30" s="1">
        <v>45699</v>
      </c>
      <c r="B30">
        <v>151.75900268554699</v>
      </c>
      <c r="C30">
        <f t="shared" si="0"/>
        <v>6.5893949110357236E-3</v>
      </c>
      <c r="D30">
        <f t="shared" si="1"/>
        <v>5.7304958778470194E-4</v>
      </c>
    </row>
    <row r="31" spans="1:15" x14ac:dyDescent="0.45">
      <c r="A31" s="1">
        <v>45700</v>
      </c>
      <c r="B31">
        <v>152.73899841308599</v>
      </c>
      <c r="C31">
        <f t="shared" si="0"/>
        <v>6.5471163906383485E-3</v>
      </c>
      <c r="D31">
        <f t="shared" si="1"/>
        <v>-6.4368180260663266E-3</v>
      </c>
    </row>
    <row r="32" spans="1:15" x14ac:dyDescent="0.45">
      <c r="A32" s="1">
        <v>45701</v>
      </c>
      <c r="B32">
        <v>154.25500488281199</v>
      </c>
      <c r="C32">
        <f t="shared" si="0"/>
        <v>6.4827718281147712E-3</v>
      </c>
      <c r="D32">
        <f t="shared" si="1"/>
        <v>-9.8765368495241646E-3</v>
      </c>
    </row>
    <row r="33" spans="1:4" x14ac:dyDescent="0.45">
      <c r="A33" s="1">
        <v>45702</v>
      </c>
      <c r="B33">
        <v>152.98899841308599</v>
      </c>
      <c r="C33">
        <f t="shared" si="0"/>
        <v>6.5364177187427382E-3</v>
      </c>
      <c r="D33">
        <f t="shared" si="1"/>
        <v>8.2410958148946278E-3</v>
      </c>
    </row>
    <row r="34" spans="1:4" x14ac:dyDescent="0.45">
      <c r="A34" s="1">
        <v>45705</v>
      </c>
      <c r="B34">
        <v>152.02299499511699</v>
      </c>
      <c r="C34">
        <f t="shared" si="0"/>
        <v>6.5779522369765198E-3</v>
      </c>
      <c r="D34">
        <f t="shared" si="1"/>
        <v>6.3342207434766706E-3</v>
      </c>
    </row>
    <row r="35" spans="1:4" x14ac:dyDescent="0.45">
      <c r="A35" s="1">
        <v>45706</v>
      </c>
      <c r="B35">
        <v>151.44400024414099</v>
      </c>
      <c r="C35">
        <f t="shared" si="0"/>
        <v>6.6031008054984837E-3</v>
      </c>
      <c r="D35">
        <f t="shared" si="1"/>
        <v>3.8158710015565589E-3</v>
      </c>
    </row>
    <row r="36" spans="1:4" x14ac:dyDescent="0.45">
      <c r="A36" s="1">
        <v>45707</v>
      </c>
      <c r="B36">
        <v>151.93099975585901</v>
      </c>
      <c r="C36">
        <f t="shared" si="0"/>
        <v>6.5819352311702033E-3</v>
      </c>
      <c r="D36">
        <f t="shared" si="1"/>
        <v>-3.2105475404033967E-3</v>
      </c>
    </row>
    <row r="37" spans="1:4" x14ac:dyDescent="0.45">
      <c r="A37" s="1">
        <v>45708</v>
      </c>
      <c r="B37">
        <v>151.22000122070301</v>
      </c>
      <c r="C37">
        <f t="shared" si="0"/>
        <v>6.61288184054778E-3</v>
      </c>
      <c r="D37">
        <f t="shared" si="1"/>
        <v>4.6907306031478413E-3</v>
      </c>
    </row>
    <row r="38" spans="1:4" x14ac:dyDescent="0.45">
      <c r="A38" s="1">
        <v>45709</v>
      </c>
      <c r="B38">
        <v>149.40800476074199</v>
      </c>
      <c r="C38">
        <f t="shared" si="0"/>
        <v>6.6930818171447607E-3</v>
      </c>
      <c r="D38">
        <f t="shared" si="1"/>
        <v>1.2054887549926008E-2</v>
      </c>
    </row>
    <row r="39" spans="1:4" x14ac:dyDescent="0.45">
      <c r="A39" s="1">
        <v>45712</v>
      </c>
      <c r="B39">
        <v>149.38699340820301</v>
      </c>
      <c r="C39">
        <f t="shared" si="0"/>
        <v>6.6940232023244457E-3</v>
      </c>
      <c r="D39">
        <f t="shared" si="1"/>
        <v>1.4064059105667326E-4</v>
      </c>
    </row>
    <row r="40" spans="1:4" x14ac:dyDescent="0.45">
      <c r="A40" s="1">
        <v>45713</v>
      </c>
      <c r="B40">
        <v>149.86399841308599</v>
      </c>
      <c r="C40">
        <f t="shared" si="0"/>
        <v>6.6727166670382983E-3</v>
      </c>
      <c r="D40">
        <f t="shared" si="1"/>
        <v>-3.1879955082239064E-3</v>
      </c>
    </row>
    <row r="41" spans="1:4" x14ac:dyDescent="0.45">
      <c r="A41" s="1">
        <v>45714</v>
      </c>
      <c r="B41">
        <v>149.07800292968801</v>
      </c>
      <c r="C41">
        <f t="shared" si="0"/>
        <v>6.7078977471387623E-3</v>
      </c>
      <c r="D41">
        <f t="shared" si="1"/>
        <v>5.2585270123914896E-3</v>
      </c>
    </row>
    <row r="42" spans="1:4" x14ac:dyDescent="0.45">
      <c r="A42" s="1">
        <v>45715</v>
      </c>
      <c r="B42">
        <v>148.83799743652301</v>
      </c>
      <c r="C42">
        <f t="shared" si="0"/>
        <v>6.7187144225484743E-3</v>
      </c>
      <c r="D42">
        <f t="shared" si="1"/>
        <v>1.6112296405186299E-3</v>
      </c>
    </row>
    <row r="43" spans="1:4" x14ac:dyDescent="0.45">
      <c r="A43" s="1">
        <v>45716</v>
      </c>
      <c r="B43">
        <v>150.01199340820301</v>
      </c>
      <c r="C43">
        <f t="shared" si="0"/>
        <v>6.6661336689184851E-3</v>
      </c>
      <c r="D43">
        <f t="shared" si="1"/>
        <v>-7.8567980378076996E-3</v>
      </c>
    </row>
    <row r="44" spans="1:4" x14ac:dyDescent="0.45">
      <c r="A44" s="1">
        <v>45719</v>
      </c>
      <c r="B44">
        <v>150.77099609375</v>
      </c>
      <c r="C44">
        <f t="shared" si="0"/>
        <v>6.6325754018246056E-3</v>
      </c>
      <c r="D44">
        <f t="shared" si="1"/>
        <v>-5.0468565249275343E-3</v>
      </c>
    </row>
    <row r="45" spans="1:4" x14ac:dyDescent="0.45">
      <c r="A45" s="1">
        <v>45720</v>
      </c>
      <c r="B45">
        <v>149.30499267578099</v>
      </c>
      <c r="C45">
        <f t="shared" si="0"/>
        <v>6.6976996688350643E-3</v>
      </c>
      <c r="D45">
        <f t="shared" si="1"/>
        <v>9.7709589323748958E-3</v>
      </c>
    </row>
    <row r="46" spans="1:4" x14ac:dyDescent="0.45">
      <c r="A46" s="1">
        <v>45721</v>
      </c>
      <c r="B46">
        <v>149.79899597168</v>
      </c>
      <c r="C46">
        <f t="shared" si="0"/>
        <v>6.6756121662461167E-3</v>
      </c>
      <c r="D46">
        <f t="shared" si="1"/>
        <v>-3.3032240547319347E-3</v>
      </c>
    </row>
    <row r="47" spans="1:4" x14ac:dyDescent="0.45">
      <c r="A47" s="1">
        <v>45722</v>
      </c>
      <c r="B47">
        <v>148.89799499511699</v>
      </c>
      <c r="C47">
        <f t="shared" si="0"/>
        <v>6.7160071566631525E-3</v>
      </c>
      <c r="D47">
        <f t="shared" si="1"/>
        <v>6.0328944484320246E-3</v>
      </c>
    </row>
    <row r="48" spans="1:4" x14ac:dyDescent="0.45">
      <c r="A48" s="1">
        <v>45723</v>
      </c>
      <c r="B48">
        <v>148.10800170898401</v>
      </c>
      <c r="C48">
        <f t="shared" si="0"/>
        <v>6.7518296679533255E-3</v>
      </c>
      <c r="D48">
        <f t="shared" si="1"/>
        <v>5.3197252441483656E-3</v>
      </c>
    </row>
    <row r="49" spans="1:4" x14ac:dyDescent="0.45">
      <c r="A49" s="1">
        <v>45726</v>
      </c>
      <c r="B49">
        <v>147.60800170898401</v>
      </c>
      <c r="C49">
        <f t="shared" si="0"/>
        <v>6.7747004797988272E-3</v>
      </c>
      <c r="D49">
        <f t="shared" si="1"/>
        <v>3.3816260918957397E-3</v>
      </c>
    </row>
    <row r="50" spans="1:4" x14ac:dyDescent="0.45">
      <c r="A50" s="1">
        <v>45727</v>
      </c>
      <c r="B50">
        <v>147.06900024414099</v>
      </c>
      <c r="C50">
        <f t="shared" si="0"/>
        <v>6.7995294612729811E-3</v>
      </c>
      <c r="D50">
        <f t="shared" si="1"/>
        <v>3.6582567515255349E-3</v>
      </c>
    </row>
    <row r="51" spans="1:4" x14ac:dyDescent="0.45">
      <c r="A51" s="1">
        <v>45728</v>
      </c>
      <c r="B51">
        <v>148.04200744628901</v>
      </c>
      <c r="C51">
        <f t="shared" si="0"/>
        <v>6.7548395029891038E-3</v>
      </c>
      <c r="D51">
        <f t="shared" si="1"/>
        <v>-6.5942015214748295E-3</v>
      </c>
    </row>
    <row r="52" spans="1:4" x14ac:dyDescent="0.45">
      <c r="A52" s="1">
        <v>45729</v>
      </c>
      <c r="B52">
        <v>148.27900695800801</v>
      </c>
      <c r="C52">
        <f t="shared" si="0"/>
        <v>6.744043007269369E-3</v>
      </c>
      <c r="D52">
        <f t="shared" si="1"/>
        <v>-1.599613599669425E-3</v>
      </c>
    </row>
    <row r="53" spans="1:4" x14ac:dyDescent="0.45">
      <c r="A53" s="1">
        <v>45730</v>
      </c>
      <c r="B53">
        <v>147.94900512695301</v>
      </c>
      <c r="C53">
        <f t="shared" si="0"/>
        <v>6.7590856669966365E-3</v>
      </c>
      <c r="D53">
        <f t="shared" si="1"/>
        <v>2.2280267503793638E-3</v>
      </c>
    </row>
    <row r="54" spans="1:4" x14ac:dyDescent="0.45">
      <c r="A54" s="1">
        <v>45733</v>
      </c>
      <c r="B54">
        <v>148.59800720214801</v>
      </c>
      <c r="C54">
        <f t="shared" si="0"/>
        <v>6.72956534766736E-3</v>
      </c>
      <c r="D54">
        <f t="shared" si="1"/>
        <v>-4.3770672735359284E-3</v>
      </c>
    </row>
    <row r="55" spans="1:4" x14ac:dyDescent="0.45">
      <c r="A55" s="1">
        <v>45734</v>
      </c>
      <c r="B55">
        <v>149.37899780273401</v>
      </c>
      <c r="C55">
        <f t="shared" si="0"/>
        <v>6.6943815041561189E-3</v>
      </c>
      <c r="D55">
        <f t="shared" si="1"/>
        <v>-5.2419641503735903E-3</v>
      </c>
    </row>
    <row r="56" spans="1:4" x14ac:dyDescent="0.45">
      <c r="A56" s="1">
        <v>45735</v>
      </c>
      <c r="B56">
        <v>149.45199584960901</v>
      </c>
      <c r="C56">
        <f t="shared" si="0"/>
        <v>6.69111171326399E-3</v>
      </c>
      <c r="D56">
        <f t="shared" si="1"/>
        <v>-4.8855741122988405E-4</v>
      </c>
    </row>
    <row r="57" spans="1:4" x14ac:dyDescent="0.45">
      <c r="A57" s="1">
        <v>45736</v>
      </c>
      <c r="B57">
        <v>148.49000549316401</v>
      </c>
      <c r="C57">
        <f t="shared" si="0"/>
        <v>6.7344599838811154E-3</v>
      </c>
      <c r="D57">
        <f t="shared" si="1"/>
        <v>6.4575903703509852E-3</v>
      </c>
    </row>
    <row r="58" spans="1:4" x14ac:dyDescent="0.45">
      <c r="A58" s="1">
        <v>45737</v>
      </c>
      <c r="B58">
        <v>148.59599304199199</v>
      </c>
      <c r="C58">
        <f t="shared" si="0"/>
        <v>6.7296565642749754E-3</v>
      </c>
      <c r="D58">
        <f t="shared" si="1"/>
        <v>-7.1351429449517667E-4</v>
      </c>
    </row>
    <row r="59" spans="1:4" x14ac:dyDescent="0.45">
      <c r="A59" s="1">
        <v>45740</v>
      </c>
      <c r="B59">
        <v>149.677001953125</v>
      </c>
      <c r="C59">
        <f t="shared" si="0"/>
        <v>6.6810531140460332E-3</v>
      </c>
      <c r="D59">
        <f t="shared" si="1"/>
        <v>-7.2484848600646856E-3</v>
      </c>
    </row>
    <row r="60" spans="1:4" x14ac:dyDescent="0.45">
      <c r="A60" s="1">
        <v>45741</v>
      </c>
      <c r="B60">
        <v>150.774002075195</v>
      </c>
      <c r="C60">
        <f t="shared" si="0"/>
        <v>6.6324431681615342E-3</v>
      </c>
      <c r="D60">
        <f t="shared" si="1"/>
        <v>-7.3023886233745117E-3</v>
      </c>
    </row>
    <row r="61" spans="1:4" x14ac:dyDescent="0.45">
      <c r="A61" s="1">
        <v>45742</v>
      </c>
      <c r="B61">
        <v>149.94999694824199</v>
      </c>
      <c r="C61">
        <f t="shared" si="0"/>
        <v>6.6688897656007858E-3</v>
      </c>
      <c r="D61">
        <f t="shared" si="1"/>
        <v>5.4801558362180813E-3</v>
      </c>
    </row>
    <row r="62" spans="1:4" x14ac:dyDescent="0.45">
      <c r="A62" s="1">
        <v>45743</v>
      </c>
      <c r="B62">
        <v>150.47300720214801</v>
      </c>
      <c r="C62">
        <f t="shared" si="0"/>
        <v>6.6457102080546768E-3</v>
      </c>
      <c r="D62">
        <f t="shared" si="1"/>
        <v>-3.4818291213216668E-3</v>
      </c>
    </row>
    <row r="63" spans="1:4" x14ac:dyDescent="0.45">
      <c r="A63" s="1">
        <v>45744</v>
      </c>
      <c r="B63">
        <v>150.84700012207</v>
      </c>
      <c r="C63">
        <f t="shared" si="0"/>
        <v>6.6292335889395846E-3</v>
      </c>
      <c r="D63">
        <f t="shared" si="1"/>
        <v>-2.4823649467737852E-3</v>
      </c>
    </row>
    <row r="64" spans="1:4" x14ac:dyDescent="0.45">
      <c r="A64" s="1">
        <v>45746</v>
      </c>
      <c r="B64">
        <v>149.61700439453099</v>
      </c>
      <c r="C64">
        <f t="shared" si="0"/>
        <v>6.6837322672432366E-3</v>
      </c>
      <c r="D64">
        <f t="shared" si="1"/>
        <v>8.1873540915156084E-3</v>
      </c>
    </row>
    <row r="65" spans="1:4" x14ac:dyDescent="0.45">
      <c r="A65" s="1">
        <v>45747</v>
      </c>
      <c r="B65">
        <v>149.91299438476599</v>
      </c>
      <c r="C65">
        <f t="shared" si="0"/>
        <v>6.6705358271572151E-3</v>
      </c>
      <c r="D65">
        <f t="shared" si="1"/>
        <v>-1.9763635548111225E-3</v>
      </c>
    </row>
    <row r="66" spans="1:4" x14ac:dyDescent="0.45">
      <c r="A66" s="1">
        <v>45748</v>
      </c>
      <c r="B66">
        <v>149.78300476074199</v>
      </c>
      <c r="C66">
        <f t="shared" si="0"/>
        <v>6.6763248714189188E-3</v>
      </c>
      <c r="D66">
        <f t="shared" si="1"/>
        <v>8.6747659325592252E-4</v>
      </c>
    </row>
    <row r="67" spans="1:4" x14ac:dyDescent="0.45">
      <c r="A67" s="1">
        <v>45749</v>
      </c>
      <c r="B67">
        <v>147.871994018555</v>
      </c>
      <c r="C67">
        <f t="shared" ref="C67:C128" si="2">1/B67</f>
        <v>6.762605770194185E-3</v>
      </c>
      <c r="D67">
        <f t="shared" si="1"/>
        <v>1.284061754361332E-2</v>
      </c>
    </row>
    <row r="68" spans="1:4" x14ac:dyDescent="0.45">
      <c r="A68" s="1">
        <v>45750</v>
      </c>
      <c r="B68">
        <v>146.23100280761699</v>
      </c>
      <c r="C68">
        <f t="shared" si="2"/>
        <v>6.8384951262052841E-3</v>
      </c>
      <c r="D68">
        <f t="shared" ref="D68:D131" si="3">LN(C68)-LN(C67)</f>
        <v>1.1159411895398819E-2</v>
      </c>
    </row>
    <row r="69" spans="1:4" x14ac:dyDescent="0.45">
      <c r="A69" s="1">
        <v>45753</v>
      </c>
      <c r="B69">
        <v>145.43299865722699</v>
      </c>
      <c r="C69">
        <f t="shared" si="2"/>
        <v>6.876018573727642E-3</v>
      </c>
      <c r="D69">
        <f t="shared" si="3"/>
        <v>5.4720921173245785E-3</v>
      </c>
    </row>
    <row r="70" spans="1:4" x14ac:dyDescent="0.45">
      <c r="A70" s="1">
        <v>45754</v>
      </c>
      <c r="B70">
        <v>147.78900146484401</v>
      </c>
      <c r="C70">
        <f t="shared" si="2"/>
        <v>6.7664033865055895E-3</v>
      </c>
      <c r="D70">
        <f t="shared" si="3"/>
        <v>-1.6070100532666665E-2</v>
      </c>
    </row>
    <row r="71" spans="1:4" x14ac:dyDescent="0.45">
      <c r="A71" s="1">
        <v>45755</v>
      </c>
      <c r="B71">
        <v>145.84500122070301</v>
      </c>
      <c r="C71">
        <f t="shared" si="2"/>
        <v>6.8565942722077187E-3</v>
      </c>
      <c r="D71">
        <f t="shared" si="3"/>
        <v>1.3241168458050012E-2</v>
      </c>
    </row>
    <row r="72" spans="1:4" x14ac:dyDescent="0.45">
      <c r="A72" s="1">
        <v>45756</v>
      </c>
      <c r="B72">
        <v>147.399002075195</v>
      </c>
      <c r="C72">
        <f t="shared" si="2"/>
        <v>6.7843064465921829E-3</v>
      </c>
      <c r="D72">
        <f t="shared" si="3"/>
        <v>-1.0598787250871489E-2</v>
      </c>
    </row>
    <row r="73" spans="1:4" x14ac:dyDescent="0.45">
      <c r="A73" s="1">
        <v>45757</v>
      </c>
      <c r="B73">
        <v>143.746994018555</v>
      </c>
      <c r="C73">
        <f t="shared" si="2"/>
        <v>6.9566672112177808E-3</v>
      </c>
      <c r="D73">
        <f t="shared" si="3"/>
        <v>2.5088441266918338E-2</v>
      </c>
    </row>
    <row r="74" spans="1:4" x14ac:dyDescent="0.45">
      <c r="A74" s="1">
        <v>45760</v>
      </c>
      <c r="B74">
        <v>143.69599914550801</v>
      </c>
      <c r="C74">
        <f t="shared" si="2"/>
        <v>6.9591359950626737E-3</v>
      </c>
      <c r="D74">
        <f t="shared" si="3"/>
        <v>3.5481730148045898E-4</v>
      </c>
    </row>
    <row r="75" spans="1:4" x14ac:dyDescent="0.45">
      <c r="A75" s="1">
        <v>45761</v>
      </c>
      <c r="B75">
        <v>143.22099304199199</v>
      </c>
      <c r="C75">
        <f t="shared" si="2"/>
        <v>6.982216634308651E-3</v>
      </c>
      <c r="D75">
        <f t="shared" si="3"/>
        <v>3.3111077449214932E-3</v>
      </c>
    </row>
    <row r="76" spans="1:4" x14ac:dyDescent="0.45">
      <c r="A76" s="1">
        <v>45762</v>
      </c>
      <c r="B76">
        <v>143.18099975585901</v>
      </c>
      <c r="C76">
        <f t="shared" si="2"/>
        <v>6.9841669055609439E-3</v>
      </c>
      <c r="D76">
        <f t="shared" si="3"/>
        <v>2.7928078294614522E-4</v>
      </c>
    </row>
    <row r="77" spans="1:4" x14ac:dyDescent="0.45">
      <c r="A77" s="1">
        <v>45763</v>
      </c>
      <c r="B77">
        <v>141.92799377441401</v>
      </c>
      <c r="C77">
        <f t="shared" si="2"/>
        <v>7.0458263617073297E-3</v>
      </c>
      <c r="D77">
        <f t="shared" si="3"/>
        <v>8.7897195602497646E-3</v>
      </c>
    </row>
    <row r="78" spans="1:4" x14ac:dyDescent="0.45">
      <c r="A78" s="1">
        <v>45768</v>
      </c>
      <c r="B78">
        <v>140.87600708007801</v>
      </c>
      <c r="C78">
        <f t="shared" si="2"/>
        <v>7.0984408255663507E-3</v>
      </c>
      <c r="D78">
        <f t="shared" si="3"/>
        <v>7.439721810118094E-3</v>
      </c>
    </row>
    <row r="79" spans="1:4" x14ac:dyDescent="0.45">
      <c r="A79" s="1">
        <v>45769</v>
      </c>
      <c r="B79">
        <v>142.68800354003901</v>
      </c>
      <c r="C79">
        <f t="shared" si="2"/>
        <v>7.0082976507509602E-3</v>
      </c>
      <c r="D79">
        <f t="shared" si="3"/>
        <v>-1.2780332170881259E-2</v>
      </c>
    </row>
    <row r="80" spans="1:4" x14ac:dyDescent="0.45">
      <c r="A80" s="1">
        <v>45770</v>
      </c>
      <c r="B80">
        <v>143.22300720214801</v>
      </c>
      <c r="C80">
        <f t="shared" si="2"/>
        <v>6.9821184426645828E-3</v>
      </c>
      <c r="D80">
        <f t="shared" si="3"/>
        <v>-3.7424531860912325E-3</v>
      </c>
    </row>
    <row r="81" spans="1:4" x14ac:dyDescent="0.45">
      <c r="A81" s="1">
        <v>45771</v>
      </c>
      <c r="B81">
        <v>142.87899780273401</v>
      </c>
      <c r="C81">
        <f t="shared" si="2"/>
        <v>6.9989292714710298E-3</v>
      </c>
      <c r="D81">
        <f t="shared" si="3"/>
        <v>2.4048035957964231E-3</v>
      </c>
    </row>
    <row r="82" spans="1:4" x14ac:dyDescent="0.45">
      <c r="A82" s="1">
        <v>45774</v>
      </c>
      <c r="B82">
        <v>143.84100341796901</v>
      </c>
      <c r="C82">
        <f t="shared" si="2"/>
        <v>6.9521205792358737E-3</v>
      </c>
      <c r="D82">
        <f t="shared" si="3"/>
        <v>-6.7104437853453547E-3</v>
      </c>
    </row>
    <row r="83" spans="1:4" x14ac:dyDescent="0.45">
      <c r="A83" s="1">
        <v>45775</v>
      </c>
      <c r="B83">
        <v>142.17799377441401</v>
      </c>
      <c r="C83">
        <f t="shared" si="2"/>
        <v>7.0334372672795267E-3</v>
      </c>
      <c r="D83">
        <f t="shared" si="3"/>
        <v>1.1628796691265819E-2</v>
      </c>
    </row>
    <row r="84" spans="1:4" x14ac:dyDescent="0.45">
      <c r="A84" s="1">
        <v>45776</v>
      </c>
      <c r="B84">
        <v>142.29899597168</v>
      </c>
      <c r="C84">
        <f t="shared" si="2"/>
        <v>7.027456470592509E-3</v>
      </c>
      <c r="D84">
        <f t="shared" si="3"/>
        <v>-8.5069941629623003E-4</v>
      </c>
    </row>
    <row r="85" spans="1:4" x14ac:dyDescent="0.45">
      <c r="A85" s="1">
        <v>45777</v>
      </c>
      <c r="B85">
        <v>143.00900268554699</v>
      </c>
      <c r="C85">
        <f t="shared" si="2"/>
        <v>6.9925667700713474E-3</v>
      </c>
      <c r="D85">
        <f t="shared" si="3"/>
        <v>-4.9771347658733589E-3</v>
      </c>
    </row>
    <row r="86" spans="1:4" x14ac:dyDescent="0.45">
      <c r="A86" s="1">
        <v>45778</v>
      </c>
      <c r="B86">
        <v>145.447998046875</v>
      </c>
      <c r="C86">
        <f t="shared" si="2"/>
        <v>6.8753094812464858E-3</v>
      </c>
      <c r="D86">
        <f t="shared" si="3"/>
        <v>-1.6911036867375273E-2</v>
      </c>
    </row>
    <row r="87" spans="1:4" x14ac:dyDescent="0.45">
      <c r="A87" s="1">
        <v>45781</v>
      </c>
      <c r="B87">
        <v>144.62399291992199</v>
      </c>
      <c r="C87">
        <f t="shared" si="2"/>
        <v>6.9144820289514337E-3</v>
      </c>
      <c r="D87">
        <f t="shared" si="3"/>
        <v>5.6813988876482924E-3</v>
      </c>
    </row>
    <row r="88" spans="1:4" x14ac:dyDescent="0.45">
      <c r="A88" s="1">
        <v>45782</v>
      </c>
      <c r="B88">
        <v>143.65400695800801</v>
      </c>
      <c r="C88">
        <f t="shared" si="2"/>
        <v>6.9611702532760772E-3</v>
      </c>
      <c r="D88">
        <f t="shared" si="3"/>
        <v>6.7295431697740327E-3</v>
      </c>
    </row>
    <row r="89" spans="1:4" x14ac:dyDescent="0.45">
      <c r="A89" s="1">
        <v>45783</v>
      </c>
      <c r="B89">
        <v>143.03500366210901</v>
      </c>
      <c r="C89">
        <f t="shared" si="2"/>
        <v>6.9912956576859732E-3</v>
      </c>
      <c r="D89">
        <f t="shared" si="3"/>
        <v>4.3182977713396298E-3</v>
      </c>
    </row>
    <row r="90" spans="1:4" x14ac:dyDescent="0.45">
      <c r="A90" s="1">
        <v>45784</v>
      </c>
      <c r="B90">
        <v>143.84800720214801</v>
      </c>
      <c r="C90">
        <f t="shared" si="2"/>
        <v>6.951782088956652E-3</v>
      </c>
      <c r="D90">
        <f t="shared" si="3"/>
        <v>-5.6678554372302514E-3</v>
      </c>
    </row>
    <row r="91" spans="1:4" x14ac:dyDescent="0.45">
      <c r="A91" s="1">
        <v>45785</v>
      </c>
      <c r="B91">
        <v>146.01499938964801</v>
      </c>
      <c r="C91">
        <f t="shared" si="2"/>
        <v>6.8486114726573543E-3</v>
      </c>
      <c r="D91">
        <f t="shared" si="3"/>
        <v>-1.4952115379834652E-2</v>
      </c>
    </row>
    <row r="92" spans="1:4" x14ac:dyDescent="0.45">
      <c r="A92" s="1">
        <v>45788</v>
      </c>
      <c r="B92">
        <v>145.81199645996099</v>
      </c>
      <c r="C92">
        <f t="shared" si="2"/>
        <v>6.8581462724474343E-3</v>
      </c>
      <c r="D92">
        <f t="shared" si="3"/>
        <v>1.3912555405655169E-3</v>
      </c>
    </row>
    <row r="93" spans="1:4" x14ac:dyDescent="0.45">
      <c r="A93" s="1">
        <v>45789</v>
      </c>
      <c r="B93">
        <v>148.30999755859401</v>
      </c>
      <c r="C93">
        <f t="shared" si="2"/>
        <v>6.74263378370647E-3</v>
      </c>
      <c r="D93">
        <f t="shared" si="3"/>
        <v>-1.6986564855994146E-2</v>
      </c>
    </row>
    <row r="94" spans="1:4" x14ac:dyDescent="0.45">
      <c r="A94" s="1">
        <v>45790</v>
      </c>
      <c r="B94">
        <v>147.52799987793</v>
      </c>
      <c r="C94">
        <f t="shared" si="2"/>
        <v>6.7783742803226247E-3</v>
      </c>
      <c r="D94">
        <f t="shared" si="3"/>
        <v>5.2866738469825592E-3</v>
      </c>
    </row>
    <row r="95" spans="1:4" x14ac:dyDescent="0.45">
      <c r="A95" s="1">
        <v>45791</v>
      </c>
      <c r="B95">
        <v>146.64999389648401</v>
      </c>
      <c r="C95">
        <f t="shared" si="2"/>
        <v>6.8189569834272963E-3</v>
      </c>
      <c r="D95">
        <f t="shared" si="3"/>
        <v>5.9692336415340108E-3</v>
      </c>
    </row>
    <row r="96" spans="1:4" x14ac:dyDescent="0.45">
      <c r="A96" s="1">
        <v>45792</v>
      </c>
      <c r="B96">
        <v>145.61300659179699</v>
      </c>
      <c r="C96">
        <f t="shared" si="2"/>
        <v>6.8675183859319769E-3</v>
      </c>
      <c r="D96">
        <f t="shared" si="3"/>
        <v>7.0962910434202442E-3</v>
      </c>
    </row>
    <row r="97" spans="1:4" x14ac:dyDescent="0.45">
      <c r="A97" s="1">
        <v>45795</v>
      </c>
      <c r="B97">
        <v>145.29800415039099</v>
      </c>
      <c r="C97">
        <f t="shared" si="2"/>
        <v>6.8824069941452737E-3</v>
      </c>
      <c r="D97">
        <f t="shared" si="3"/>
        <v>2.1656283391573439E-3</v>
      </c>
    </row>
    <row r="98" spans="1:4" x14ac:dyDescent="0.45">
      <c r="A98" s="1">
        <v>45796</v>
      </c>
      <c r="B98">
        <v>144.97500610351599</v>
      </c>
      <c r="C98">
        <f t="shared" si="2"/>
        <v>6.8977406994276897E-3</v>
      </c>
      <c r="D98">
        <f t="shared" si="3"/>
        <v>2.2254785582944692E-3</v>
      </c>
    </row>
    <row r="99" spans="1:4" x14ac:dyDescent="0.45">
      <c r="A99" s="1">
        <v>45797</v>
      </c>
      <c r="B99">
        <v>144.32800292968801</v>
      </c>
      <c r="C99">
        <f t="shared" si="2"/>
        <v>6.928662350349073E-3</v>
      </c>
      <c r="D99">
        <f t="shared" si="3"/>
        <v>4.4728484136546953E-3</v>
      </c>
    </row>
    <row r="100" spans="1:4" x14ac:dyDescent="0.45">
      <c r="A100" s="1">
        <v>45798</v>
      </c>
      <c r="B100">
        <v>143.75500488281199</v>
      </c>
      <c r="C100">
        <f t="shared" si="2"/>
        <v>6.9562795452943887E-3</v>
      </c>
      <c r="D100">
        <f t="shared" si="3"/>
        <v>3.978011801860859E-3</v>
      </c>
    </row>
    <row r="101" spans="1:4" x14ac:dyDescent="0.45">
      <c r="A101" s="1">
        <v>45799</v>
      </c>
      <c r="B101">
        <v>143.85800170898401</v>
      </c>
      <c r="C101">
        <f t="shared" si="2"/>
        <v>6.9512991152410088E-3</v>
      </c>
      <c r="D101">
        <f t="shared" si="3"/>
        <v>-7.1621816965361518E-4</v>
      </c>
    </row>
    <row r="102" spans="1:4" x14ac:dyDescent="0.45">
      <c r="A102" s="1">
        <v>45802</v>
      </c>
      <c r="B102">
        <v>142.86700439453099</v>
      </c>
      <c r="C102">
        <f t="shared" si="2"/>
        <v>6.9995168180224015E-3</v>
      </c>
      <c r="D102">
        <f t="shared" si="3"/>
        <v>6.9125555110867154E-3</v>
      </c>
    </row>
    <row r="103" spans="1:4" x14ac:dyDescent="0.45">
      <c r="A103" s="1">
        <v>45803</v>
      </c>
      <c r="B103">
        <v>142.65499877929699</v>
      </c>
      <c r="C103">
        <f t="shared" si="2"/>
        <v>7.0099190954192236E-3</v>
      </c>
      <c r="D103">
        <f t="shared" si="3"/>
        <v>1.4850389941187814E-3</v>
      </c>
    </row>
    <row r="104" spans="1:4" x14ac:dyDescent="0.45">
      <c r="A104" s="1">
        <v>45804</v>
      </c>
      <c r="B104">
        <v>144.177001953125</v>
      </c>
      <c r="C104">
        <f t="shared" si="2"/>
        <v>6.935918949993989E-3</v>
      </c>
      <c r="D104">
        <f t="shared" si="3"/>
        <v>-1.0612605670587527E-2</v>
      </c>
    </row>
    <row r="105" spans="1:4" x14ac:dyDescent="0.45">
      <c r="A105" s="1">
        <v>45805</v>
      </c>
      <c r="B105">
        <v>145.69700622558599</v>
      </c>
      <c r="C105">
        <f t="shared" si="2"/>
        <v>6.8635590113065E-3</v>
      </c>
      <c r="D105">
        <f t="shared" si="3"/>
        <v>-1.048744048241268E-2</v>
      </c>
    </row>
    <row r="106" spans="1:4" x14ac:dyDescent="0.45">
      <c r="A106" s="1">
        <v>45806</v>
      </c>
      <c r="B106">
        <v>143.77900695800801</v>
      </c>
      <c r="C106">
        <f t="shared" si="2"/>
        <v>6.9551182829636548E-3</v>
      </c>
      <c r="D106">
        <f t="shared" si="3"/>
        <v>1.3251718609845753E-2</v>
      </c>
    </row>
    <row r="107" spans="1:4" x14ac:dyDescent="0.45">
      <c r="A107" s="1">
        <v>45809</v>
      </c>
      <c r="B107">
        <v>143.81500244140599</v>
      </c>
      <c r="C107">
        <f t="shared" si="2"/>
        <v>6.9533774851300804E-3</v>
      </c>
      <c r="D107">
        <f t="shared" si="3"/>
        <v>-2.5032151164161576E-4</v>
      </c>
    </row>
    <row r="108" spans="1:4" x14ac:dyDescent="0.45">
      <c r="A108" s="1">
        <v>45810</v>
      </c>
      <c r="B108">
        <v>142.45199584960901</v>
      </c>
      <c r="C108">
        <f t="shared" si="2"/>
        <v>7.0199086649212769E-3</v>
      </c>
      <c r="D108">
        <f t="shared" si="3"/>
        <v>9.522696642672912E-3</v>
      </c>
    </row>
    <row r="109" spans="1:4" x14ac:dyDescent="0.45">
      <c r="A109" s="1">
        <v>45811</v>
      </c>
      <c r="B109">
        <v>143.83700561523401</v>
      </c>
      <c r="C109">
        <f t="shared" si="2"/>
        <v>6.9523138063302984E-3</v>
      </c>
      <c r="D109">
        <f t="shared" si="3"/>
        <v>-9.6756813134177833E-3</v>
      </c>
    </row>
    <row r="110" spans="1:4" x14ac:dyDescent="0.45">
      <c r="A110" s="1">
        <v>45812</v>
      </c>
      <c r="B110">
        <v>142.73199462890599</v>
      </c>
      <c r="C110">
        <f t="shared" si="2"/>
        <v>7.0061376399869956E-3</v>
      </c>
      <c r="D110">
        <f t="shared" si="3"/>
        <v>7.7120446534699738E-3</v>
      </c>
    </row>
    <row r="111" spans="1:4" x14ac:dyDescent="0.45">
      <c r="A111" s="1">
        <v>45813</v>
      </c>
      <c r="B111">
        <v>143.54200744628901</v>
      </c>
      <c r="C111">
        <f t="shared" si="2"/>
        <v>6.9666017480923357E-3</v>
      </c>
      <c r="D111">
        <f t="shared" si="3"/>
        <v>-5.659018794564652E-3</v>
      </c>
    </row>
    <row r="112" spans="1:4" x14ac:dyDescent="0.45">
      <c r="A112" s="1">
        <v>45816</v>
      </c>
      <c r="B112">
        <v>144.690994262695</v>
      </c>
      <c r="C112">
        <f t="shared" si="2"/>
        <v>6.9112801739715825E-3</v>
      </c>
      <c r="D112">
        <f t="shared" si="3"/>
        <v>-7.9726672221074324E-3</v>
      </c>
    </row>
    <row r="113" spans="1:4" x14ac:dyDescent="0.45">
      <c r="A113" s="1">
        <v>45817</v>
      </c>
      <c r="B113">
        <v>144.53999328613301</v>
      </c>
      <c r="C113">
        <f t="shared" si="2"/>
        <v>6.9185003905485772E-3</v>
      </c>
      <c r="D113">
        <f t="shared" si="3"/>
        <v>1.0441549957063145E-3</v>
      </c>
    </row>
    <row r="114" spans="1:4" x14ac:dyDescent="0.45">
      <c r="A114" s="1">
        <v>45818</v>
      </c>
      <c r="B114">
        <v>144.83799743652301</v>
      </c>
      <c r="C114">
        <f t="shared" si="2"/>
        <v>6.9042655773963041E-3</v>
      </c>
      <c r="D114">
        <f t="shared" si="3"/>
        <v>-2.0596193579960342E-3</v>
      </c>
    </row>
    <row r="115" spans="1:4" x14ac:dyDescent="0.45">
      <c r="A115" s="1">
        <v>45819</v>
      </c>
      <c r="B115">
        <v>144.20300292968801</v>
      </c>
      <c r="C115">
        <f t="shared" si="2"/>
        <v>6.9346683472853218E-3</v>
      </c>
      <c r="D115">
        <f t="shared" si="3"/>
        <v>4.393809373806512E-3</v>
      </c>
    </row>
    <row r="116" spans="1:4" x14ac:dyDescent="0.45">
      <c r="A116" s="1">
        <v>45820</v>
      </c>
      <c r="B116">
        <v>143.19400024414099</v>
      </c>
      <c r="C116">
        <f t="shared" si="2"/>
        <v>6.9835328176811413E-3</v>
      </c>
      <c r="D116">
        <f t="shared" si="3"/>
        <v>7.0216934767692862E-3</v>
      </c>
    </row>
    <row r="117" spans="1:4" x14ac:dyDescent="0.45">
      <c r="A117" s="1">
        <v>45823</v>
      </c>
      <c r="B117">
        <v>144.09100341796901</v>
      </c>
      <c r="C117">
        <f t="shared" si="2"/>
        <v>6.9400585482722373E-3</v>
      </c>
      <c r="D117">
        <f t="shared" si="3"/>
        <v>-6.2447122361781737E-3</v>
      </c>
    </row>
    <row r="118" spans="1:4" x14ac:dyDescent="0.45">
      <c r="A118" s="1">
        <v>45824</v>
      </c>
      <c r="B118">
        <v>144.72900390625</v>
      </c>
      <c r="C118">
        <f t="shared" si="2"/>
        <v>6.9094650899951078E-3</v>
      </c>
      <c r="D118">
        <f t="shared" si="3"/>
        <v>-4.4179870496616758E-3</v>
      </c>
    </row>
    <row r="119" spans="1:4" x14ac:dyDescent="0.45">
      <c r="A119" s="1">
        <v>45825</v>
      </c>
      <c r="B119">
        <v>145.37600708007801</v>
      </c>
      <c r="C119">
        <f t="shared" si="2"/>
        <v>6.8787141708271451E-3</v>
      </c>
      <c r="D119">
        <f t="shared" si="3"/>
        <v>-4.4604830806216356E-3</v>
      </c>
    </row>
    <row r="120" spans="1:4" x14ac:dyDescent="0.45">
      <c r="A120" s="1">
        <v>45826</v>
      </c>
      <c r="B120">
        <v>144.955001831055</v>
      </c>
      <c r="C120">
        <f t="shared" si="2"/>
        <v>6.8986926105902829E-3</v>
      </c>
      <c r="D120">
        <f t="shared" si="3"/>
        <v>2.900176220874684E-3</v>
      </c>
    </row>
    <row r="121" spans="1:4" x14ac:dyDescent="0.45">
      <c r="A121" s="1">
        <v>45827</v>
      </c>
      <c r="B121">
        <v>145.21800231933599</v>
      </c>
      <c r="C121">
        <f t="shared" si="2"/>
        <v>6.8861985706220423E-3</v>
      </c>
      <c r="D121">
        <f t="shared" si="3"/>
        <v>-1.8127155630347502E-3</v>
      </c>
    </row>
    <row r="122" spans="1:4" x14ac:dyDescent="0.45">
      <c r="A122" s="1">
        <v>45830</v>
      </c>
      <c r="B122">
        <v>146.22399902343801</v>
      </c>
      <c r="C122">
        <f t="shared" si="2"/>
        <v>6.8388226739696236E-3</v>
      </c>
      <c r="D122">
        <f t="shared" si="3"/>
        <v>-6.9036082303250978E-3</v>
      </c>
    </row>
    <row r="123" spans="1:4" x14ac:dyDescent="0.45">
      <c r="A123" s="1">
        <v>45831</v>
      </c>
      <c r="B123">
        <v>145.92799377441401</v>
      </c>
      <c r="C123">
        <f t="shared" si="2"/>
        <v>6.8526947718192573E-3</v>
      </c>
      <c r="D123">
        <f t="shared" si="3"/>
        <v>2.0263791287380428E-3</v>
      </c>
    </row>
    <row r="124" spans="1:4" x14ac:dyDescent="0.45">
      <c r="A124" s="1">
        <v>45832</v>
      </c>
      <c r="B124">
        <v>144.95700073242199</v>
      </c>
      <c r="C124">
        <f t="shared" si="2"/>
        <v>6.8985974802687382E-3</v>
      </c>
      <c r="D124">
        <f t="shared" si="3"/>
        <v>6.6761549536105136E-3</v>
      </c>
    </row>
    <row r="125" spans="1:4" x14ac:dyDescent="0.45">
      <c r="A125" s="1">
        <v>45833</v>
      </c>
      <c r="B125">
        <v>144.90400695800801</v>
      </c>
      <c r="C125">
        <f t="shared" si="2"/>
        <v>6.9011204106301334E-3</v>
      </c>
      <c r="D125">
        <f t="shared" si="3"/>
        <v>3.6564956029572215E-4</v>
      </c>
    </row>
    <row r="126" spans="1:4" x14ac:dyDescent="0.45">
      <c r="A126" s="1">
        <v>45834</v>
      </c>
      <c r="B126">
        <v>144.69400024414099</v>
      </c>
      <c r="C126">
        <f t="shared" si="2"/>
        <v>6.9111365938650414E-3</v>
      </c>
      <c r="D126">
        <f t="shared" si="3"/>
        <v>1.4503328438459917E-3</v>
      </c>
    </row>
    <row r="127" spans="1:4" x14ac:dyDescent="0.45">
      <c r="A127" s="1">
        <v>45837</v>
      </c>
      <c r="B127">
        <v>144.51699829101599</v>
      </c>
      <c r="C127">
        <f t="shared" si="2"/>
        <v>6.9196012360171321E-3</v>
      </c>
      <c r="D127">
        <f t="shared" si="3"/>
        <v>1.2240334988717905E-3</v>
      </c>
    </row>
    <row r="128" spans="1:4" x14ac:dyDescent="0.45">
      <c r="A128" s="1">
        <v>45838</v>
      </c>
      <c r="B128">
        <v>143.80000305175801</v>
      </c>
      <c r="C128">
        <f t="shared" si="2"/>
        <v>6.9541027731415935E-3</v>
      </c>
      <c r="D128">
        <f t="shared" si="3"/>
        <v>4.9736693567643542E-3</v>
      </c>
    </row>
    <row r="129" spans="1:4" x14ac:dyDescent="0.45">
      <c r="A129" s="1">
        <v>45839</v>
      </c>
      <c r="B129">
        <v>143.40199279785199</v>
      </c>
      <c r="C129">
        <f t="shared" ref="C129:C163" si="4">1/B129</f>
        <v>6.9734037895112077E-3</v>
      </c>
      <c r="D129">
        <f t="shared" si="3"/>
        <v>2.771641663014357E-3</v>
      </c>
    </row>
    <row r="130" spans="1:4" x14ac:dyDescent="0.45">
      <c r="A130" s="1">
        <v>45840</v>
      </c>
      <c r="B130">
        <v>143.52600097656199</v>
      </c>
      <c r="C130">
        <f t="shared" si="4"/>
        <v>6.9673786853665732E-3</v>
      </c>
      <c r="D130">
        <f t="shared" si="3"/>
        <v>-8.643854146113128E-4</v>
      </c>
    </row>
    <row r="131" spans="1:4" x14ac:dyDescent="0.45">
      <c r="A131" s="1">
        <v>45841</v>
      </c>
      <c r="B131">
        <v>144.68200683593801</v>
      </c>
      <c r="C131">
        <f t="shared" si="4"/>
        <v>6.9117094922103812E-3</v>
      </c>
      <c r="D131">
        <f t="shared" si="3"/>
        <v>-8.0220675863156288E-3</v>
      </c>
    </row>
    <row r="132" spans="1:4" x14ac:dyDescent="0.45">
      <c r="A132" s="1">
        <v>45844</v>
      </c>
      <c r="B132">
        <v>144.49800109863301</v>
      </c>
      <c r="C132">
        <f t="shared" si="4"/>
        <v>6.9205109579156682E-3</v>
      </c>
      <c r="D132">
        <f t="shared" ref="D132:D163" si="5">LN(C132)-LN(C131)</f>
        <v>1.2726036177443945E-3</v>
      </c>
    </row>
    <row r="133" spans="1:4" x14ac:dyDescent="0.45">
      <c r="A133" s="1">
        <v>45845</v>
      </c>
      <c r="B133">
        <v>145.89199829101599</v>
      </c>
      <c r="C133">
        <f t="shared" si="4"/>
        <v>6.8543855160943384E-3</v>
      </c>
      <c r="D133">
        <f t="shared" si="5"/>
        <v>-9.6009360052526915E-3</v>
      </c>
    </row>
    <row r="134" spans="1:4" x14ac:dyDescent="0.45">
      <c r="A134" s="1">
        <v>45846</v>
      </c>
      <c r="B134">
        <v>146.84899902343801</v>
      </c>
      <c r="C134">
        <f t="shared" si="4"/>
        <v>6.8097161482210296E-3</v>
      </c>
      <c r="D134">
        <f t="shared" si="5"/>
        <v>-6.5382310669956922E-3</v>
      </c>
    </row>
    <row r="135" spans="1:4" x14ac:dyDescent="0.45">
      <c r="A135" s="1">
        <v>45847</v>
      </c>
      <c r="B135">
        <v>146.11399841308599</v>
      </c>
      <c r="C135">
        <f t="shared" si="4"/>
        <v>6.8439712201486085E-3</v>
      </c>
      <c r="D135">
        <f t="shared" si="5"/>
        <v>5.0177132190931673E-3</v>
      </c>
    </row>
    <row r="136" spans="1:4" x14ac:dyDescent="0.45">
      <c r="A136" s="1">
        <v>45848</v>
      </c>
      <c r="B136">
        <v>146.28799438476599</v>
      </c>
      <c r="C136">
        <f t="shared" si="4"/>
        <v>6.8358309525373947E-3</v>
      </c>
      <c r="D136">
        <f t="shared" si="5"/>
        <v>-1.1901149547721701E-3</v>
      </c>
    </row>
    <row r="137" spans="1:4" x14ac:dyDescent="0.45">
      <c r="A137" s="1">
        <v>45851</v>
      </c>
      <c r="B137">
        <v>147.294998168945</v>
      </c>
      <c r="C137">
        <f t="shared" si="4"/>
        <v>6.7890967950793284E-3</v>
      </c>
      <c r="D137">
        <f t="shared" si="5"/>
        <v>-6.8601230926752521E-3</v>
      </c>
    </row>
    <row r="138" spans="1:4" x14ac:dyDescent="0.45">
      <c r="A138" s="1">
        <v>45852</v>
      </c>
      <c r="B138">
        <v>147.79200744628901</v>
      </c>
      <c r="C138">
        <f t="shared" si="4"/>
        <v>6.7662657628046827E-3</v>
      </c>
      <c r="D138">
        <f t="shared" si="5"/>
        <v>-3.3685641038694314E-3</v>
      </c>
    </row>
    <row r="139" spans="1:4" x14ac:dyDescent="0.45">
      <c r="A139" s="1">
        <v>45853</v>
      </c>
      <c r="B139">
        <v>148.76100158691401</v>
      </c>
      <c r="C139">
        <f t="shared" si="4"/>
        <v>6.7221919006490915E-3</v>
      </c>
      <c r="D139">
        <f t="shared" si="5"/>
        <v>-6.5350717051506635E-3</v>
      </c>
    </row>
    <row r="140" spans="1:4" x14ac:dyDescent="0.45">
      <c r="A140" s="1">
        <v>45854</v>
      </c>
      <c r="B140">
        <v>148.003005981445</v>
      </c>
      <c r="C140">
        <f t="shared" si="4"/>
        <v>6.7566195251829485E-3</v>
      </c>
      <c r="D140">
        <f t="shared" si="5"/>
        <v>5.1084176956814886E-3</v>
      </c>
    </row>
    <row r="141" spans="1:4" x14ac:dyDescent="0.45">
      <c r="A141" s="1">
        <v>45855</v>
      </c>
      <c r="B141">
        <v>148.44200134277301</v>
      </c>
      <c r="C141">
        <f t="shared" si="4"/>
        <v>6.7366378178293513E-3</v>
      </c>
      <c r="D141">
        <f t="shared" si="5"/>
        <v>-2.9617343614001257E-3</v>
      </c>
    </row>
    <row r="142" spans="1:4" x14ac:dyDescent="0.45">
      <c r="A142" s="1">
        <v>45858</v>
      </c>
      <c r="B142">
        <v>148.43099975585901</v>
      </c>
      <c r="C142">
        <f t="shared" si="4"/>
        <v>6.737137132033142E-3</v>
      </c>
      <c r="D142">
        <f t="shared" si="5"/>
        <v>7.4116453017580852E-5</v>
      </c>
    </row>
    <row r="143" spans="1:4" x14ac:dyDescent="0.45">
      <c r="A143" s="1">
        <v>45859</v>
      </c>
      <c r="B143">
        <v>147.40899658203099</v>
      </c>
      <c r="C143">
        <f t="shared" si="4"/>
        <v>6.783846462474998E-3</v>
      </c>
      <c r="D143">
        <f t="shared" si="5"/>
        <v>6.9091891027621699E-3</v>
      </c>
    </row>
    <row r="144" spans="1:4" x14ac:dyDescent="0.45">
      <c r="A144" s="1">
        <v>45860</v>
      </c>
      <c r="B144">
        <v>146.78500366210901</v>
      </c>
      <c r="C144">
        <f t="shared" si="4"/>
        <v>6.8126850499111271E-3</v>
      </c>
      <c r="D144">
        <f t="shared" si="5"/>
        <v>4.2420569769321403E-3</v>
      </c>
    </row>
    <row r="145" spans="1:4" x14ac:dyDescent="0.45">
      <c r="A145" s="1">
        <v>45861</v>
      </c>
      <c r="B145">
        <v>146.34899902343801</v>
      </c>
      <c r="C145">
        <f t="shared" si="4"/>
        <v>6.8329814803847651E-3</v>
      </c>
      <c r="D145">
        <f t="shared" si="5"/>
        <v>2.9747825650083826E-3</v>
      </c>
    </row>
    <row r="146" spans="1:4" x14ac:dyDescent="0.45">
      <c r="A146" s="1">
        <v>45862</v>
      </c>
      <c r="B146">
        <v>147.00500488281199</v>
      </c>
      <c r="C146">
        <f t="shared" si="4"/>
        <v>6.8024894852877302E-3</v>
      </c>
      <c r="D146">
        <f t="shared" si="5"/>
        <v>-4.4724595140319678E-3</v>
      </c>
    </row>
    <row r="147" spans="1:4" x14ac:dyDescent="0.45">
      <c r="A147" s="1">
        <v>45865</v>
      </c>
      <c r="B147">
        <v>147.81300354003901</v>
      </c>
      <c r="C147">
        <f t="shared" si="4"/>
        <v>6.7653046487829733E-3</v>
      </c>
      <c r="D147">
        <f t="shared" si="5"/>
        <v>-5.4813522728149877E-3</v>
      </c>
    </row>
    <row r="148" spans="1:4" x14ac:dyDescent="0.45">
      <c r="A148" s="1">
        <v>45866</v>
      </c>
      <c r="B148">
        <v>148.47900390625</v>
      </c>
      <c r="C148">
        <f t="shared" si="4"/>
        <v>6.7349589752865157E-3</v>
      </c>
      <c r="D148">
        <f t="shared" si="5"/>
        <v>-4.4955751160298263E-3</v>
      </c>
    </row>
    <row r="149" spans="1:4" x14ac:dyDescent="0.45">
      <c r="A149" s="1">
        <v>45867</v>
      </c>
      <c r="B149">
        <v>148.44200134277301</v>
      </c>
      <c r="C149">
        <f t="shared" si="4"/>
        <v>6.7366378178293513E-3</v>
      </c>
      <c r="D149">
        <f t="shared" si="5"/>
        <v>2.4924180515650818E-4</v>
      </c>
    </row>
    <row r="150" spans="1:4" x14ac:dyDescent="0.45">
      <c r="A150" s="1">
        <v>45868</v>
      </c>
      <c r="B150">
        <v>149.225997924805</v>
      </c>
      <c r="C150">
        <f t="shared" si="4"/>
        <v>6.7012451845281018E-3</v>
      </c>
      <c r="D150">
        <f t="shared" si="5"/>
        <v>-5.2676028111724449E-3</v>
      </c>
    </row>
    <row r="151" spans="1:4" x14ac:dyDescent="0.45">
      <c r="A151" s="1">
        <v>45869</v>
      </c>
      <c r="B151">
        <v>150.77200317382801</v>
      </c>
      <c r="C151">
        <f t="shared" si="4"/>
        <v>6.6325310996039515E-3</v>
      </c>
      <c r="D151">
        <f t="shared" si="5"/>
        <v>-1.0306861575933191E-2</v>
      </c>
    </row>
    <row r="152" spans="1:4" x14ac:dyDescent="0.45">
      <c r="A152" s="1">
        <v>45872</v>
      </c>
      <c r="B152">
        <v>147.34300231933599</v>
      </c>
      <c r="C152">
        <f t="shared" si="4"/>
        <v>6.7868849165480102E-3</v>
      </c>
      <c r="D152">
        <f t="shared" si="5"/>
        <v>2.3005565133715322E-2</v>
      </c>
    </row>
    <row r="153" spans="1:4" x14ac:dyDescent="0.45">
      <c r="A153" s="1">
        <v>45873</v>
      </c>
      <c r="B153">
        <v>146.79299926757801</v>
      </c>
      <c r="C153">
        <f t="shared" si="4"/>
        <v>6.8123139726655119E-3</v>
      </c>
      <c r="D153">
        <f t="shared" si="5"/>
        <v>3.7397917277788295E-3</v>
      </c>
    </row>
    <row r="154" spans="1:4" x14ac:dyDescent="0.45">
      <c r="A154" s="1">
        <v>45874</v>
      </c>
      <c r="B154">
        <v>147.55999755859401</v>
      </c>
      <c r="C154">
        <f t="shared" si="4"/>
        <v>6.7769044222362098E-3</v>
      </c>
      <c r="D154">
        <f t="shared" si="5"/>
        <v>-5.2114300529932933E-3</v>
      </c>
    </row>
    <row r="155" spans="1:4" x14ac:dyDescent="0.45">
      <c r="A155" s="1">
        <v>45875</v>
      </c>
      <c r="B155">
        <v>147.19299316406199</v>
      </c>
      <c r="C155">
        <f t="shared" si="4"/>
        <v>6.7938016511791119E-3</v>
      </c>
      <c r="D155">
        <f t="shared" si="5"/>
        <v>2.490251809099675E-3</v>
      </c>
    </row>
    <row r="156" spans="1:4" x14ac:dyDescent="0.45">
      <c r="A156" s="1">
        <v>45876</v>
      </c>
      <c r="B156">
        <v>146.83700561523401</v>
      </c>
      <c r="C156">
        <f t="shared" si="4"/>
        <v>6.8102723547792936E-3</v>
      </c>
      <c r="D156">
        <f t="shared" si="5"/>
        <v>2.4214381134326501E-3</v>
      </c>
    </row>
    <row r="157" spans="1:4" x14ac:dyDescent="0.45">
      <c r="A157" s="1">
        <v>45879</v>
      </c>
      <c r="B157">
        <v>147.66400146484401</v>
      </c>
      <c r="C157">
        <f t="shared" si="4"/>
        <v>6.7721312579903303E-3</v>
      </c>
      <c r="D157">
        <f t="shared" si="5"/>
        <v>-5.6162661825691629E-3</v>
      </c>
    </row>
    <row r="158" spans="1:4" x14ac:dyDescent="0.45">
      <c r="A158" s="1">
        <v>45880</v>
      </c>
      <c r="B158">
        <v>148.125</v>
      </c>
      <c r="C158">
        <f t="shared" si="4"/>
        <v>6.7510548523206752E-3</v>
      </c>
      <c r="D158">
        <f t="shared" si="5"/>
        <v>-3.1170794460591011E-3</v>
      </c>
    </row>
    <row r="159" spans="1:4" x14ac:dyDescent="0.45">
      <c r="A159" s="1">
        <v>45881</v>
      </c>
      <c r="B159">
        <v>147.75799560546901</v>
      </c>
      <c r="C159">
        <f t="shared" si="4"/>
        <v>6.7678232633184609E-3</v>
      </c>
      <c r="D159">
        <f t="shared" si="5"/>
        <v>2.4807412943381735E-3</v>
      </c>
    </row>
    <row r="160" spans="1:4" x14ac:dyDescent="0.45">
      <c r="A160" s="1">
        <v>45882</v>
      </c>
      <c r="B160">
        <v>147.11999511718801</v>
      </c>
      <c r="C160">
        <f t="shared" si="4"/>
        <v>6.7971726018849635E-3</v>
      </c>
      <c r="D160">
        <f t="shared" si="5"/>
        <v>4.3272234883069416E-3</v>
      </c>
    </row>
    <row r="161" spans="1:4" x14ac:dyDescent="0.45">
      <c r="A161" s="1">
        <v>45883</v>
      </c>
      <c r="B161">
        <v>147.690994262695</v>
      </c>
      <c r="C161">
        <f t="shared" si="4"/>
        <v>6.7708935469776863E-3</v>
      </c>
      <c r="D161">
        <f t="shared" si="5"/>
        <v>-3.8736674009944849E-3</v>
      </c>
    </row>
    <row r="162" spans="1:4" x14ac:dyDescent="0.45">
      <c r="A162" s="1">
        <v>45886</v>
      </c>
      <c r="B162">
        <v>147.26400756835901</v>
      </c>
      <c r="C162">
        <f t="shared" si="4"/>
        <v>6.7905255093360572E-3</v>
      </c>
      <c r="D162">
        <f t="shared" si="5"/>
        <v>2.895268701708531E-3</v>
      </c>
    </row>
    <row r="163" spans="1:4" x14ac:dyDescent="0.45">
      <c r="A163" s="1">
        <v>45887</v>
      </c>
      <c r="B163">
        <v>147.91600036621099</v>
      </c>
      <c r="C163">
        <f t="shared" si="4"/>
        <v>6.7605938338259298E-3</v>
      </c>
      <c r="D163">
        <f t="shared" si="5"/>
        <v>-4.4176017388730671E-3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351F-048B-49C9-9E18-6505FB41C017}">
  <sheetPr codeName="Hoja2"/>
  <dimension ref="A1:N425"/>
  <sheetViews>
    <sheetView tabSelected="1" workbookViewId="0">
      <selection activeCell="D3" sqref="D3"/>
    </sheetView>
  </sheetViews>
  <sheetFormatPr baseColWidth="10" defaultRowHeight="14.25" x14ac:dyDescent="0.45"/>
  <cols>
    <col min="9" max="9" width="14.33203125" bestFit="1" customWidth="1"/>
    <col min="11" max="11" width="13.19921875" customWidth="1"/>
    <col min="13" max="13" width="13.6640625" customWidth="1"/>
    <col min="14" max="14" width="10.86328125" bestFit="1" customWidth="1"/>
  </cols>
  <sheetData>
    <row r="1" spans="1:4" x14ac:dyDescent="0.45">
      <c r="A1" t="s">
        <v>0</v>
      </c>
      <c r="B1" t="s">
        <v>16</v>
      </c>
      <c r="C1" t="s">
        <v>17</v>
      </c>
      <c r="D1" t="s">
        <v>12</v>
      </c>
    </row>
    <row r="2" spans="1:4" x14ac:dyDescent="0.45">
      <c r="A2" s="1">
        <v>45292</v>
      </c>
      <c r="B2">
        <v>0.84075897932052601</v>
      </c>
      <c r="C2">
        <f t="shared" ref="C2:C65" si="0">1/B2</f>
        <v>1.1894015105353586</v>
      </c>
    </row>
    <row r="3" spans="1:4" x14ac:dyDescent="0.45">
      <c r="A3" s="1">
        <v>45293</v>
      </c>
      <c r="B3">
        <v>0.84188997745513905</v>
      </c>
      <c r="C3">
        <f t="shared" si="0"/>
        <v>1.1878036641115448</v>
      </c>
      <c r="D3">
        <f>LN(C3)-LN(C2)</f>
        <v>-1.3443069041624289E-3</v>
      </c>
    </row>
    <row r="4" spans="1:4" x14ac:dyDescent="0.45">
      <c r="A4" s="1">
        <v>45294</v>
      </c>
      <c r="B4">
        <v>0.85012000799179099</v>
      </c>
      <c r="C4">
        <f t="shared" si="0"/>
        <v>1.1763045106564016</v>
      </c>
      <c r="D4">
        <f t="shared" ref="D4:D67" si="1">LN(C4)-LN(C3)</f>
        <v>-9.7281877922996696E-3</v>
      </c>
    </row>
    <row r="5" spans="1:4" x14ac:dyDescent="0.45">
      <c r="A5" s="1">
        <v>45295</v>
      </c>
      <c r="B5">
        <v>0.84890002012252797</v>
      </c>
      <c r="C5">
        <f t="shared" si="0"/>
        <v>1.177995024497305</v>
      </c>
      <c r="D5">
        <f t="shared" si="1"/>
        <v>1.4361079431099433E-3</v>
      </c>
    </row>
    <row r="6" spans="1:4" x14ac:dyDescent="0.45">
      <c r="A6" s="1">
        <v>45296</v>
      </c>
      <c r="B6">
        <v>0.85000002384185802</v>
      </c>
      <c r="C6">
        <f t="shared" si="0"/>
        <v>1.1764705552361836</v>
      </c>
      <c r="D6">
        <f t="shared" si="1"/>
        <v>-1.2949600854462451E-3</v>
      </c>
    </row>
    <row r="7" spans="1:4" x14ac:dyDescent="0.45">
      <c r="A7" s="1">
        <v>45299</v>
      </c>
      <c r="B7">
        <v>0.85073000192642201</v>
      </c>
      <c r="C7">
        <f t="shared" si="0"/>
        <v>1.1754610719447602</v>
      </c>
      <c r="D7">
        <f t="shared" si="1"/>
        <v>-8.584291666880739E-4</v>
      </c>
    </row>
    <row r="8" spans="1:4" x14ac:dyDescent="0.45">
      <c r="A8" s="1">
        <v>45300</v>
      </c>
      <c r="B8">
        <v>0.84789997339248702</v>
      </c>
      <c r="C8">
        <f t="shared" si="0"/>
        <v>1.1793843983730223</v>
      </c>
      <c r="D8">
        <f t="shared" si="1"/>
        <v>3.3321337708223653E-3</v>
      </c>
    </row>
    <row r="9" spans="1:4" x14ac:dyDescent="0.45">
      <c r="A9" s="1">
        <v>45301</v>
      </c>
      <c r="B9">
        <v>0.85237002372741699</v>
      </c>
      <c r="C9">
        <f t="shared" si="0"/>
        <v>1.1731993995131325</v>
      </c>
      <c r="D9">
        <f t="shared" si="1"/>
        <v>-5.2580597683805075E-3</v>
      </c>
    </row>
    <row r="10" spans="1:4" x14ac:dyDescent="0.45">
      <c r="A10" s="1">
        <v>45302</v>
      </c>
      <c r="B10">
        <v>0.850499987602234</v>
      </c>
      <c r="C10">
        <f t="shared" si="0"/>
        <v>1.1757789706960995</v>
      </c>
      <c r="D10">
        <f t="shared" si="1"/>
        <v>2.1963354389687439E-3</v>
      </c>
    </row>
    <row r="11" spans="1:4" x14ac:dyDescent="0.45">
      <c r="A11" s="1">
        <v>45303</v>
      </c>
      <c r="B11">
        <v>0.85101002454757702</v>
      </c>
      <c r="C11">
        <f t="shared" si="0"/>
        <v>1.1750742895556732</v>
      </c>
      <c r="D11">
        <f t="shared" si="1"/>
        <v>-5.9951097199223424E-4</v>
      </c>
    </row>
    <row r="12" spans="1:4" x14ac:dyDescent="0.45">
      <c r="A12" s="1">
        <v>45306</v>
      </c>
      <c r="B12">
        <v>0.85332000255584695</v>
      </c>
      <c r="C12">
        <f t="shared" si="0"/>
        <v>1.1718933073229505</v>
      </c>
      <c r="D12">
        <f t="shared" si="1"/>
        <v>-2.7107184477306034E-3</v>
      </c>
    </row>
    <row r="13" spans="1:4" x14ac:dyDescent="0.45">
      <c r="A13" s="1">
        <v>45307</v>
      </c>
      <c r="B13">
        <v>0.85597997903823897</v>
      </c>
      <c r="C13">
        <f t="shared" si="0"/>
        <v>1.1682516232722859</v>
      </c>
      <c r="D13">
        <f t="shared" si="1"/>
        <v>-3.1123602155891661E-3</v>
      </c>
    </row>
    <row r="14" spans="1:4" x14ac:dyDescent="0.45">
      <c r="A14" s="1">
        <v>45308</v>
      </c>
      <c r="B14">
        <v>0.86129999160766602</v>
      </c>
      <c r="C14">
        <f t="shared" si="0"/>
        <v>1.1610356551071623</v>
      </c>
      <c r="D14">
        <f t="shared" si="1"/>
        <v>-6.1958791571331551E-3</v>
      </c>
    </row>
    <row r="15" spans="1:4" x14ac:dyDescent="0.45">
      <c r="A15" s="1">
        <v>45309</v>
      </c>
      <c r="B15">
        <v>0.86432200670242298</v>
      </c>
      <c r="C15">
        <f t="shared" si="0"/>
        <v>1.1569762105389612</v>
      </c>
      <c r="D15">
        <f t="shared" si="1"/>
        <v>-3.5025262625819342E-3</v>
      </c>
    </row>
    <row r="16" spans="1:4" x14ac:dyDescent="0.45">
      <c r="A16" s="1">
        <v>45310</v>
      </c>
      <c r="B16">
        <v>0.86808001995086703</v>
      </c>
      <c r="C16">
        <f t="shared" si="0"/>
        <v>1.1519675341181099</v>
      </c>
      <c r="D16">
        <f t="shared" si="1"/>
        <v>-4.338506980792578E-3</v>
      </c>
    </row>
    <row r="17" spans="1:14" x14ac:dyDescent="0.45">
      <c r="A17" s="1">
        <v>45313</v>
      </c>
      <c r="B17">
        <v>0.86848002672195401</v>
      </c>
      <c r="C17">
        <f t="shared" si="0"/>
        <v>1.1514369579395662</v>
      </c>
      <c r="D17">
        <f t="shared" si="1"/>
        <v>-4.6068868039200739E-4</v>
      </c>
    </row>
    <row r="18" spans="1:14" x14ac:dyDescent="0.45">
      <c r="A18" s="1">
        <v>45314</v>
      </c>
      <c r="B18">
        <v>0.86912000179290805</v>
      </c>
      <c r="C18">
        <f t="shared" si="0"/>
        <v>1.1505890992464787</v>
      </c>
      <c r="D18">
        <f t="shared" si="1"/>
        <v>-7.3661957802678701E-4</v>
      </c>
    </row>
    <row r="19" spans="1:14" x14ac:dyDescent="0.45">
      <c r="A19" s="1">
        <v>45315</v>
      </c>
      <c r="B19">
        <v>0.86959999799728405</v>
      </c>
      <c r="C19">
        <f t="shared" si="0"/>
        <v>1.1499540044883063</v>
      </c>
      <c r="D19">
        <f t="shared" si="1"/>
        <v>-5.5212595084613847E-4</v>
      </c>
    </row>
    <row r="20" spans="1:14" x14ac:dyDescent="0.45">
      <c r="A20" s="1">
        <v>45316</v>
      </c>
      <c r="B20">
        <v>0.86302000284194902</v>
      </c>
      <c r="C20">
        <f t="shared" si="0"/>
        <v>1.1587216944068179</v>
      </c>
      <c r="D20">
        <f t="shared" si="1"/>
        <v>7.5954644250167958E-3</v>
      </c>
      <c r="G20" t="s">
        <v>4</v>
      </c>
      <c r="I20" s="6">
        <f>0.96</f>
        <v>0.96</v>
      </c>
    </row>
    <row r="21" spans="1:14" x14ac:dyDescent="0.45">
      <c r="A21" s="1">
        <v>45317</v>
      </c>
      <c r="B21">
        <v>0.86690002679824796</v>
      </c>
      <c r="C21">
        <f t="shared" si="0"/>
        <v>1.1535355509139096</v>
      </c>
      <c r="D21">
        <f t="shared" si="1"/>
        <v>-4.4857917083752363E-3</v>
      </c>
      <c r="G21" t="s">
        <v>15</v>
      </c>
      <c r="I21" s="2">
        <f>PERCENTILE(D:D,0.04)</f>
        <v>-8.9204320753275522E-3</v>
      </c>
      <c r="K21" s="5"/>
    </row>
    <row r="22" spans="1:14" x14ac:dyDescent="0.45">
      <c r="A22" s="1">
        <v>45320</v>
      </c>
      <c r="B22">
        <v>0.86413997411727905</v>
      </c>
      <c r="C22">
        <f t="shared" si="0"/>
        <v>1.1572199295854844</v>
      </c>
      <c r="D22">
        <f t="shared" si="1"/>
        <v>3.1888980248170329E-3</v>
      </c>
      <c r="G22" t="s">
        <v>6</v>
      </c>
      <c r="I22" s="3">
        <f>4000000*C425</f>
        <v>4954112.5218993034</v>
      </c>
      <c r="J22" t="s">
        <v>18</v>
      </c>
    </row>
    <row r="23" spans="1:14" x14ac:dyDescent="0.45">
      <c r="A23" s="1">
        <v>45321</v>
      </c>
      <c r="B23">
        <v>0.86132001876831099</v>
      </c>
      <c r="C23">
        <f t="shared" si="0"/>
        <v>1.1610086590463804</v>
      </c>
      <c r="D23">
        <f t="shared" si="1"/>
        <v>3.2686447339307922E-3</v>
      </c>
      <c r="G23" t="s">
        <v>14</v>
      </c>
      <c r="I23" s="4">
        <f>ABS(I21*I22)</f>
        <v>44192.824245132419</v>
      </c>
      <c r="J23" t="s">
        <v>19</v>
      </c>
    </row>
    <row r="24" spans="1:14" x14ac:dyDescent="0.45">
      <c r="A24" s="1">
        <v>45322</v>
      </c>
      <c r="B24">
        <v>0.86185997724533103</v>
      </c>
      <c r="C24">
        <f t="shared" si="0"/>
        <v>1.1602812828090601</v>
      </c>
      <c r="D24">
        <f t="shared" si="1"/>
        <v>-6.2670004983997329E-4</v>
      </c>
      <c r="G24" t="s">
        <v>13</v>
      </c>
      <c r="I24" s="4">
        <f>AVERAGEIF(D:D,"&lt;-0.00892")*I22</f>
        <v>-57700.738958082125</v>
      </c>
      <c r="J24" t="s">
        <v>18</v>
      </c>
    </row>
    <row r="25" spans="1:14" x14ac:dyDescent="0.45">
      <c r="A25" s="1">
        <v>45323</v>
      </c>
      <c r="B25">
        <v>0.86233997344970703</v>
      </c>
      <c r="C25">
        <f t="shared" si="0"/>
        <v>1.1596354463305203</v>
      </c>
      <c r="D25">
        <f t="shared" si="1"/>
        <v>-5.5677558346101108E-4</v>
      </c>
      <c r="J25" t="s">
        <v>20</v>
      </c>
      <c r="N25" s="4">
        <f>I24</f>
        <v>-57700.738958082125</v>
      </c>
    </row>
    <row r="26" spans="1:14" x14ac:dyDescent="0.45">
      <c r="A26" s="1">
        <v>45324</v>
      </c>
      <c r="B26">
        <v>0.85762000083923295</v>
      </c>
      <c r="C26">
        <f t="shared" si="0"/>
        <v>1.1660175824041412</v>
      </c>
      <c r="D26">
        <f t="shared" si="1"/>
        <v>5.4884817431876398E-3</v>
      </c>
    </row>
    <row r="27" spans="1:14" x14ac:dyDescent="0.45">
      <c r="A27" s="1">
        <v>45327</v>
      </c>
      <c r="B27">
        <v>0.86698001623153698</v>
      </c>
      <c r="C27">
        <f t="shared" si="0"/>
        <v>1.1534291232532152</v>
      </c>
      <c r="D27">
        <f t="shared" si="1"/>
        <v>-1.0854815266955697E-2</v>
      </c>
    </row>
    <row r="28" spans="1:14" x14ac:dyDescent="0.45">
      <c r="A28" s="1">
        <v>45328</v>
      </c>
      <c r="B28">
        <v>0.87070000171661399</v>
      </c>
      <c r="C28">
        <f t="shared" si="0"/>
        <v>1.148501203661958</v>
      </c>
      <c r="D28">
        <f t="shared" si="1"/>
        <v>-4.2815606204549272E-3</v>
      </c>
    </row>
    <row r="29" spans="1:14" x14ac:dyDescent="0.45">
      <c r="A29" s="1">
        <v>45329</v>
      </c>
      <c r="B29">
        <v>0.86949998140335105</v>
      </c>
      <c r="C29">
        <f t="shared" si="0"/>
        <v>1.1500862810669934</v>
      </c>
      <c r="D29">
        <f t="shared" si="1"/>
        <v>1.3791753995159306E-3</v>
      </c>
    </row>
    <row r="30" spans="1:14" x14ac:dyDescent="0.45">
      <c r="A30" s="1">
        <v>45330</v>
      </c>
      <c r="B30">
        <v>0.87391000986099199</v>
      </c>
      <c r="C30">
        <f t="shared" si="0"/>
        <v>1.1442825791171158</v>
      </c>
      <c r="D30">
        <f t="shared" si="1"/>
        <v>-5.0590944020627027E-3</v>
      </c>
    </row>
    <row r="31" spans="1:14" x14ac:dyDescent="0.45">
      <c r="A31" s="1">
        <v>45331</v>
      </c>
      <c r="B31">
        <v>0.87344998121261597</v>
      </c>
      <c r="C31">
        <f t="shared" si="0"/>
        <v>1.1448852498819611</v>
      </c>
      <c r="D31">
        <f t="shared" si="1"/>
        <v>5.2654136680990726E-4</v>
      </c>
    </row>
    <row r="32" spans="1:14" x14ac:dyDescent="0.45">
      <c r="A32" s="1">
        <v>45334</v>
      </c>
      <c r="B32">
        <v>0.87415999174117998</v>
      </c>
      <c r="C32">
        <f t="shared" si="0"/>
        <v>1.1439553507912983</v>
      </c>
      <c r="D32">
        <f t="shared" si="1"/>
        <v>-8.1255037292868315E-4</v>
      </c>
    </row>
    <row r="33" spans="1:4" x14ac:dyDescent="0.45">
      <c r="A33" s="1">
        <v>45335</v>
      </c>
      <c r="B33">
        <v>0.87580001354217496</v>
      </c>
      <c r="C33">
        <f t="shared" si="0"/>
        <v>1.1418131817051451</v>
      </c>
      <c r="D33">
        <f t="shared" si="1"/>
        <v>-1.8743540151633376E-3</v>
      </c>
    </row>
    <row r="34" spans="1:4" x14ac:dyDescent="0.45">
      <c r="A34" s="1">
        <v>45336</v>
      </c>
      <c r="B34">
        <v>0.88740998506545998</v>
      </c>
      <c r="C34">
        <f t="shared" si="0"/>
        <v>1.1268748569763216</v>
      </c>
      <c r="D34">
        <f t="shared" si="1"/>
        <v>-1.3169321097392633E-2</v>
      </c>
    </row>
    <row r="35" spans="1:4" x14ac:dyDescent="0.45">
      <c r="A35" s="1">
        <v>45337</v>
      </c>
      <c r="B35">
        <v>0.88510000705719005</v>
      </c>
      <c r="C35">
        <f t="shared" si="0"/>
        <v>1.1298158310096882</v>
      </c>
      <c r="D35">
        <f t="shared" si="1"/>
        <v>2.6064499791683682E-3</v>
      </c>
    </row>
    <row r="36" spans="1:4" x14ac:dyDescent="0.45">
      <c r="A36" s="1">
        <v>45338</v>
      </c>
      <c r="B36">
        <v>0.87980002164840698</v>
      </c>
      <c r="C36">
        <f t="shared" si="0"/>
        <v>1.1366219315684767</v>
      </c>
      <c r="D36">
        <f t="shared" si="1"/>
        <v>6.0060074274823627E-3</v>
      </c>
    </row>
    <row r="37" spans="1:4" x14ac:dyDescent="0.45">
      <c r="A37" s="1">
        <v>45341</v>
      </c>
      <c r="B37">
        <v>0.88064998388290405</v>
      </c>
      <c r="C37">
        <f t="shared" si="0"/>
        <v>1.1355249171650077</v>
      </c>
      <c r="D37">
        <f t="shared" si="1"/>
        <v>-9.6561935626685025E-4</v>
      </c>
    </row>
    <row r="38" spans="1:4" x14ac:dyDescent="0.45">
      <c r="A38" s="1">
        <v>45342</v>
      </c>
      <c r="B38">
        <v>0.88274699449539196</v>
      </c>
      <c r="C38">
        <f t="shared" si="0"/>
        <v>1.1328274196749135</v>
      </c>
      <c r="D38">
        <f t="shared" si="1"/>
        <v>-2.3783772193211733E-3</v>
      </c>
    </row>
    <row r="39" spans="1:4" x14ac:dyDescent="0.45">
      <c r="A39" s="1">
        <v>45343</v>
      </c>
      <c r="B39">
        <v>0.88181000947952304</v>
      </c>
      <c r="C39">
        <f t="shared" si="0"/>
        <v>1.1340311283041991</v>
      </c>
      <c r="D39">
        <f t="shared" si="1"/>
        <v>1.0620060466436237E-3</v>
      </c>
    </row>
    <row r="40" spans="1:4" x14ac:dyDescent="0.45">
      <c r="A40" s="1">
        <v>45344</v>
      </c>
      <c r="B40">
        <v>0.87924998998642001</v>
      </c>
      <c r="C40">
        <f t="shared" si="0"/>
        <v>1.1373329671751773</v>
      </c>
      <c r="D40">
        <f t="shared" si="1"/>
        <v>2.907364084301034E-3</v>
      </c>
    </row>
    <row r="41" spans="1:4" x14ac:dyDescent="0.45">
      <c r="A41" s="1">
        <v>45345</v>
      </c>
      <c r="B41">
        <v>0.87994998693466198</v>
      </c>
      <c r="C41">
        <f t="shared" si="0"/>
        <v>1.1364282230215568</v>
      </c>
      <c r="D41">
        <f t="shared" si="1"/>
        <v>-7.9581286308388899E-4</v>
      </c>
    </row>
    <row r="42" spans="1:4" x14ac:dyDescent="0.45">
      <c r="A42" s="1">
        <v>45348</v>
      </c>
      <c r="B42">
        <v>0.88125002384185802</v>
      </c>
      <c r="C42">
        <f t="shared" si="0"/>
        <v>1.1347517423494016</v>
      </c>
      <c r="D42">
        <f t="shared" si="1"/>
        <v>-1.4763083526674881E-3</v>
      </c>
    </row>
    <row r="43" spans="1:4" x14ac:dyDescent="0.45">
      <c r="A43" s="1">
        <v>45349</v>
      </c>
      <c r="B43">
        <v>0.87989997863769498</v>
      </c>
      <c r="C43">
        <f t="shared" si="0"/>
        <v>1.1364928108627186</v>
      </c>
      <c r="D43">
        <f t="shared" si="1"/>
        <v>1.5331408076594E-3</v>
      </c>
    </row>
    <row r="44" spans="1:4" x14ac:dyDescent="0.45">
      <c r="A44" s="1">
        <v>45350</v>
      </c>
      <c r="B44">
        <v>0.87879997491836503</v>
      </c>
      <c r="C44">
        <f t="shared" si="0"/>
        <v>1.1379153715757602</v>
      </c>
      <c r="D44">
        <f t="shared" si="1"/>
        <v>1.250928403731727E-3</v>
      </c>
    </row>
    <row r="45" spans="1:4" x14ac:dyDescent="0.45">
      <c r="A45" s="1">
        <v>45351</v>
      </c>
      <c r="B45">
        <v>0.87870997190475497</v>
      </c>
      <c r="C45">
        <f t="shared" si="0"/>
        <v>1.1380319240401109</v>
      </c>
      <c r="D45">
        <f t="shared" si="1"/>
        <v>1.0242105753249797E-4</v>
      </c>
    </row>
    <row r="46" spans="1:4" x14ac:dyDescent="0.45">
      <c r="A46" s="1">
        <v>45352</v>
      </c>
      <c r="B46">
        <v>0.88440001010894798</v>
      </c>
      <c r="C46">
        <f t="shared" si="0"/>
        <v>1.1307100730096231</v>
      </c>
      <c r="D46">
        <f t="shared" si="1"/>
        <v>-6.4545695014355808E-3</v>
      </c>
    </row>
    <row r="47" spans="1:4" x14ac:dyDescent="0.45">
      <c r="A47" s="1">
        <v>45355</v>
      </c>
      <c r="B47">
        <v>0.88334000110626198</v>
      </c>
      <c r="C47">
        <f t="shared" si="0"/>
        <v>1.1320669263790131</v>
      </c>
      <c r="D47">
        <f t="shared" si="1"/>
        <v>1.1992817077282336E-3</v>
      </c>
    </row>
    <row r="48" spans="1:4" x14ac:dyDescent="0.45">
      <c r="A48" s="1">
        <v>45356</v>
      </c>
      <c r="B48">
        <v>0.88520002365112305</v>
      </c>
      <c r="C48">
        <f t="shared" si="0"/>
        <v>1.1296881758716741</v>
      </c>
      <c r="D48">
        <f t="shared" si="1"/>
        <v>-2.1034561894366366E-3</v>
      </c>
    </row>
    <row r="49" spans="1:4" x14ac:dyDescent="0.45">
      <c r="A49" s="1">
        <v>45357</v>
      </c>
      <c r="B49">
        <v>0.88358002901077304</v>
      </c>
      <c r="C49">
        <f t="shared" si="0"/>
        <v>1.1317593960555752</v>
      </c>
      <c r="D49">
        <f t="shared" si="1"/>
        <v>1.8317654486037643E-3</v>
      </c>
    </row>
    <row r="50" spans="1:4" x14ac:dyDescent="0.45">
      <c r="A50" s="1">
        <v>45358</v>
      </c>
      <c r="B50">
        <v>0.88209998607635498</v>
      </c>
      <c r="C50">
        <f t="shared" si="0"/>
        <v>1.13365833327815</v>
      </c>
      <c r="D50">
        <f t="shared" si="1"/>
        <v>1.676456966620013E-3</v>
      </c>
    </row>
    <row r="51" spans="1:4" x14ac:dyDescent="0.45">
      <c r="A51" s="1">
        <v>45359</v>
      </c>
      <c r="B51">
        <v>0.87709999084472701</v>
      </c>
      <c r="C51">
        <f t="shared" si="0"/>
        <v>1.1401208647111136</v>
      </c>
      <c r="D51">
        <f t="shared" si="1"/>
        <v>5.6844119608470134E-3</v>
      </c>
    </row>
    <row r="52" spans="1:4" x14ac:dyDescent="0.45">
      <c r="A52" s="1">
        <v>45362</v>
      </c>
      <c r="B52">
        <v>0.87751001119613603</v>
      </c>
      <c r="C52">
        <f t="shared" si="0"/>
        <v>1.1395881383015762</v>
      </c>
      <c r="D52">
        <f t="shared" si="1"/>
        <v>-4.6736352624854316E-4</v>
      </c>
    </row>
    <row r="53" spans="1:4" x14ac:dyDescent="0.45">
      <c r="A53" s="1">
        <v>45363</v>
      </c>
      <c r="B53">
        <v>0.877250015735626</v>
      </c>
      <c r="C53">
        <f t="shared" si="0"/>
        <v>1.139925884368826</v>
      </c>
      <c r="D53">
        <f t="shared" si="1"/>
        <v>2.9633164469472506E-4</v>
      </c>
    </row>
    <row r="54" spans="1:4" x14ac:dyDescent="0.45">
      <c r="A54" s="1">
        <v>45364</v>
      </c>
      <c r="B54">
        <v>0.87739002704620395</v>
      </c>
      <c r="C54">
        <f t="shared" si="0"/>
        <v>1.1397439783611072</v>
      </c>
      <c r="D54">
        <f t="shared" si="1"/>
        <v>-1.5958978190558359E-4</v>
      </c>
    </row>
    <row r="55" spans="1:4" x14ac:dyDescent="0.45">
      <c r="A55" s="1">
        <v>45365</v>
      </c>
      <c r="B55">
        <v>0.87838000059127797</v>
      </c>
      <c r="C55">
        <f t="shared" si="0"/>
        <v>1.1384594359239213</v>
      </c>
      <c r="D55">
        <f t="shared" si="1"/>
        <v>-1.1276803162148241E-3</v>
      </c>
    </row>
    <row r="56" spans="1:4" x14ac:dyDescent="0.45">
      <c r="A56" s="1">
        <v>45366</v>
      </c>
      <c r="B56">
        <v>0.88427001237869296</v>
      </c>
      <c r="C56">
        <f t="shared" si="0"/>
        <v>1.1308763002264348</v>
      </c>
      <c r="D56">
        <f t="shared" si="1"/>
        <v>-6.6831573675693867E-3</v>
      </c>
    </row>
    <row r="57" spans="1:4" x14ac:dyDescent="0.45">
      <c r="A57" s="1">
        <v>45369</v>
      </c>
      <c r="B57">
        <v>0.88358998298644997</v>
      </c>
      <c r="C57">
        <f t="shared" si="0"/>
        <v>1.1317466463575054</v>
      </c>
      <c r="D57">
        <f t="shared" si="1"/>
        <v>7.6932497773138375E-4</v>
      </c>
    </row>
    <row r="58" spans="1:4" x14ac:dyDescent="0.45">
      <c r="A58" s="1">
        <v>45370</v>
      </c>
      <c r="B58">
        <v>0.88751000165939298</v>
      </c>
      <c r="C58">
        <f t="shared" si="0"/>
        <v>1.1267478655229604</v>
      </c>
      <c r="D58">
        <f t="shared" si="1"/>
        <v>-4.4266558727126815E-3</v>
      </c>
    </row>
    <row r="59" spans="1:4" x14ac:dyDescent="0.45">
      <c r="A59" s="1">
        <v>45371</v>
      </c>
      <c r="B59">
        <v>0.88854002952575695</v>
      </c>
      <c r="C59">
        <f t="shared" si="0"/>
        <v>1.125441698483447</v>
      </c>
      <c r="D59">
        <f t="shared" si="1"/>
        <v>-1.1599087455424067E-3</v>
      </c>
    </row>
    <row r="60" spans="1:4" x14ac:dyDescent="0.45">
      <c r="A60" s="1">
        <v>45372</v>
      </c>
      <c r="B60">
        <v>0.88555002212524403</v>
      </c>
      <c r="C60">
        <f t="shared" si="0"/>
        <v>1.1292416859751027</v>
      </c>
      <c r="D60">
        <f t="shared" si="1"/>
        <v>3.3707536195961424E-3</v>
      </c>
    </row>
    <row r="61" spans="1:4" x14ac:dyDescent="0.45">
      <c r="A61" s="1">
        <v>45373</v>
      </c>
      <c r="B61">
        <v>0.89767998456955</v>
      </c>
      <c r="C61">
        <f t="shared" si="0"/>
        <v>1.1139827301368581</v>
      </c>
      <c r="D61">
        <f t="shared" si="1"/>
        <v>-1.3604694279966786E-2</v>
      </c>
    </row>
    <row r="62" spans="1:4" x14ac:dyDescent="0.45">
      <c r="A62" s="1">
        <v>45376</v>
      </c>
      <c r="B62">
        <v>0.89762002229690596</v>
      </c>
      <c r="C62">
        <f t="shared" si="0"/>
        <v>1.114057145740929</v>
      </c>
      <c r="D62">
        <f t="shared" si="1"/>
        <v>6.6799167199996234E-5</v>
      </c>
    </row>
    <row r="63" spans="1:4" x14ac:dyDescent="0.45">
      <c r="A63" s="1">
        <v>45377</v>
      </c>
      <c r="B63">
        <v>0.89946997165679898</v>
      </c>
      <c r="C63">
        <f t="shared" si="0"/>
        <v>1.1117658526810266</v>
      </c>
      <c r="D63">
        <f t="shared" si="1"/>
        <v>-2.0588284610977836E-3</v>
      </c>
    </row>
    <row r="64" spans="1:4" x14ac:dyDescent="0.45">
      <c r="A64" s="1">
        <v>45378</v>
      </c>
      <c r="B64">
        <v>0.90364998579025302</v>
      </c>
      <c r="C64">
        <f t="shared" si="0"/>
        <v>1.1066231568913132</v>
      </c>
      <c r="D64">
        <f t="shared" si="1"/>
        <v>-4.6364320955586263E-3</v>
      </c>
    </row>
    <row r="65" spans="1:4" x14ac:dyDescent="0.45">
      <c r="A65" s="1">
        <v>45379</v>
      </c>
      <c r="B65">
        <v>0.90549999475479104</v>
      </c>
      <c r="C65">
        <f t="shared" si="0"/>
        <v>1.1043622372088466</v>
      </c>
      <c r="D65">
        <f t="shared" si="1"/>
        <v>-2.045169974044872E-3</v>
      </c>
    </row>
    <row r="66" spans="1:4" x14ac:dyDescent="0.45">
      <c r="A66" s="1">
        <v>45380</v>
      </c>
      <c r="B66">
        <v>0.90106999874115001</v>
      </c>
      <c r="C66">
        <f t="shared" ref="C66:C129" si="2">1/B66</f>
        <v>1.10979169364984</v>
      </c>
      <c r="D66">
        <f t="shared" si="1"/>
        <v>4.9043268834654957E-3</v>
      </c>
    </row>
    <row r="67" spans="1:4" x14ac:dyDescent="0.45">
      <c r="A67" s="1">
        <v>45382</v>
      </c>
      <c r="B67">
        <v>0.90200001001357999</v>
      </c>
      <c r="C67">
        <f t="shared" si="2"/>
        <v>1.1086474378031821</v>
      </c>
      <c r="D67">
        <f t="shared" si="1"/>
        <v>-1.0315865167615096E-3</v>
      </c>
    </row>
    <row r="68" spans="1:4" x14ac:dyDescent="0.45">
      <c r="A68" s="1">
        <v>45383</v>
      </c>
      <c r="B68">
        <v>0.90507000684738204</v>
      </c>
      <c r="C68">
        <f t="shared" si="2"/>
        <v>1.1048869064651543</v>
      </c>
      <c r="D68">
        <f t="shared" ref="D68:D131" si="3">LN(C68)-LN(C67)</f>
        <v>-3.3977651764463684E-3</v>
      </c>
    </row>
    <row r="69" spans="1:4" x14ac:dyDescent="0.45">
      <c r="A69" s="1">
        <v>45384</v>
      </c>
      <c r="B69">
        <v>0.90781998634338401</v>
      </c>
      <c r="C69">
        <f t="shared" si="2"/>
        <v>1.1015399694248953</v>
      </c>
      <c r="D69">
        <f t="shared" si="3"/>
        <v>-3.0338096801957593E-3</v>
      </c>
    </row>
    <row r="70" spans="1:4" x14ac:dyDescent="0.45">
      <c r="A70" s="1">
        <v>45385</v>
      </c>
      <c r="B70">
        <v>0.90289002656936601</v>
      </c>
      <c r="C70">
        <f t="shared" si="2"/>
        <v>1.1075545975400951</v>
      </c>
      <c r="D70">
        <f t="shared" si="3"/>
        <v>5.4453467653060583E-3</v>
      </c>
    </row>
    <row r="71" spans="1:4" x14ac:dyDescent="0.45">
      <c r="A71" s="1">
        <v>45386</v>
      </c>
      <c r="B71">
        <v>0.90151000022888195</v>
      </c>
      <c r="C71">
        <f t="shared" si="2"/>
        <v>1.1092500357690016</v>
      </c>
      <c r="D71">
        <f t="shared" si="3"/>
        <v>1.5296237963474818E-3</v>
      </c>
    </row>
    <row r="72" spans="1:4" x14ac:dyDescent="0.45">
      <c r="A72" s="1">
        <v>45389</v>
      </c>
      <c r="B72">
        <v>0.90316998958587602</v>
      </c>
      <c r="C72">
        <f t="shared" si="2"/>
        <v>1.1072112797487024</v>
      </c>
      <c r="D72">
        <f t="shared" si="3"/>
        <v>-1.8396500593156201E-3</v>
      </c>
    </row>
    <row r="73" spans="1:4" x14ac:dyDescent="0.45">
      <c r="A73" s="1">
        <v>45390</v>
      </c>
      <c r="B73">
        <v>0.905009984970093</v>
      </c>
      <c r="C73">
        <f t="shared" si="2"/>
        <v>1.1049601845365784</v>
      </c>
      <c r="D73">
        <f t="shared" si="3"/>
        <v>-2.035191236728906E-3</v>
      </c>
    </row>
    <row r="74" spans="1:4" x14ac:dyDescent="0.45">
      <c r="A74" s="1">
        <v>45391</v>
      </c>
      <c r="B74">
        <v>0.90298002958297696</v>
      </c>
      <c r="C74">
        <f t="shared" si="2"/>
        <v>1.1074442039009764</v>
      </c>
      <c r="D74">
        <f t="shared" si="3"/>
        <v>2.2455392162250426E-3</v>
      </c>
    </row>
    <row r="75" spans="1:4" x14ac:dyDescent="0.45">
      <c r="A75" s="1">
        <v>45392</v>
      </c>
      <c r="B75">
        <v>0.91303998231887795</v>
      </c>
      <c r="C75">
        <f t="shared" si="2"/>
        <v>1.0952422887990807</v>
      </c>
      <c r="D75">
        <f t="shared" si="3"/>
        <v>-1.1079234341270575E-2</v>
      </c>
    </row>
    <row r="76" spans="1:4" x14ac:dyDescent="0.45">
      <c r="A76" s="1">
        <v>45393</v>
      </c>
      <c r="B76">
        <v>0.90982997417449996</v>
      </c>
      <c r="C76">
        <f t="shared" si="2"/>
        <v>1.0991064576733829</v>
      </c>
      <c r="D76">
        <f t="shared" si="3"/>
        <v>3.5219313928800261E-3</v>
      </c>
    </row>
    <row r="77" spans="1:4" x14ac:dyDescent="0.45">
      <c r="A77" s="1">
        <v>45396</v>
      </c>
      <c r="B77">
        <v>0.91377002000808705</v>
      </c>
      <c r="C77">
        <f t="shared" si="2"/>
        <v>1.0943672675879099</v>
      </c>
      <c r="D77">
        <f t="shared" si="3"/>
        <v>-4.3211800581944154E-3</v>
      </c>
    </row>
    <row r="78" spans="1:4" x14ac:dyDescent="0.45">
      <c r="A78" s="1">
        <v>45397</v>
      </c>
      <c r="B78">
        <v>0.91159999370574996</v>
      </c>
      <c r="C78">
        <f t="shared" si="2"/>
        <v>1.0969723638707969</v>
      </c>
      <c r="D78">
        <f t="shared" si="3"/>
        <v>2.3776300786357424E-3</v>
      </c>
    </row>
    <row r="79" spans="1:4" x14ac:dyDescent="0.45">
      <c r="A79" s="1">
        <v>45398</v>
      </c>
      <c r="B79">
        <v>0.91255998611450195</v>
      </c>
      <c r="C79">
        <f t="shared" si="2"/>
        <v>1.0958183738230733</v>
      </c>
      <c r="D79">
        <f t="shared" si="3"/>
        <v>-1.0525310367479751E-3</v>
      </c>
    </row>
    <row r="80" spans="1:4" x14ac:dyDescent="0.45">
      <c r="A80" s="1">
        <v>45399</v>
      </c>
      <c r="B80">
        <v>0.91039997339248702</v>
      </c>
      <c r="C80">
        <f t="shared" si="2"/>
        <v>1.0984183097827103</v>
      </c>
      <c r="D80">
        <f t="shared" si="3"/>
        <v>2.3697873577712691E-3</v>
      </c>
    </row>
    <row r="81" spans="1:4" x14ac:dyDescent="0.45">
      <c r="A81" s="1">
        <v>45400</v>
      </c>
      <c r="B81">
        <v>0.91210001707077004</v>
      </c>
      <c r="C81">
        <f t="shared" si="2"/>
        <v>1.096370991430877</v>
      </c>
      <c r="D81">
        <f t="shared" si="3"/>
        <v>-1.8656177561225118E-3</v>
      </c>
    </row>
    <row r="82" spans="1:4" x14ac:dyDescent="0.45">
      <c r="A82" s="1">
        <v>45403</v>
      </c>
      <c r="B82">
        <v>0.910983026027679</v>
      </c>
      <c r="C82">
        <f t="shared" si="2"/>
        <v>1.0977152937310781</v>
      </c>
      <c r="D82">
        <f t="shared" si="3"/>
        <v>1.2253870574793074E-3</v>
      </c>
    </row>
    <row r="83" spans="1:4" x14ac:dyDescent="0.45">
      <c r="A83" s="1">
        <v>45404</v>
      </c>
      <c r="B83">
        <v>0.91188997030258201</v>
      </c>
      <c r="C83">
        <f t="shared" si="2"/>
        <v>1.0966235319686446</v>
      </c>
      <c r="D83">
        <f t="shared" si="3"/>
        <v>-9.9507135336852903E-4</v>
      </c>
    </row>
    <row r="84" spans="1:4" x14ac:dyDescent="0.45">
      <c r="A84" s="1">
        <v>45405</v>
      </c>
      <c r="B84">
        <v>0.91140002012252797</v>
      </c>
      <c r="C84">
        <f t="shared" si="2"/>
        <v>1.0972130545548602</v>
      </c>
      <c r="D84">
        <f t="shared" si="3"/>
        <v>5.3743528941635477E-4</v>
      </c>
    </row>
    <row r="85" spans="1:4" x14ac:dyDescent="0.45">
      <c r="A85" s="1">
        <v>45406</v>
      </c>
      <c r="B85">
        <v>0.91443997621536299</v>
      </c>
      <c r="C85">
        <f t="shared" si="2"/>
        <v>1.0935654892721864</v>
      </c>
      <c r="D85">
        <f t="shared" si="3"/>
        <v>-3.3299291372295842E-3</v>
      </c>
    </row>
    <row r="86" spans="1:4" x14ac:dyDescent="0.45">
      <c r="A86" s="1">
        <v>45407</v>
      </c>
      <c r="B86">
        <v>0.912519991397858</v>
      </c>
      <c r="C86">
        <f t="shared" si="2"/>
        <v>1.0958664023000027</v>
      </c>
      <c r="D86">
        <f t="shared" si="3"/>
        <v>2.1018364478367219E-3</v>
      </c>
    </row>
    <row r="87" spans="1:4" x14ac:dyDescent="0.45">
      <c r="A87" s="1">
        <v>45410</v>
      </c>
      <c r="B87">
        <v>0.913688004016876</v>
      </c>
      <c r="C87">
        <f t="shared" si="2"/>
        <v>1.0944655020134531</v>
      </c>
      <c r="D87">
        <f t="shared" si="3"/>
        <v>-1.2791673031941758E-3</v>
      </c>
    </row>
    <row r="88" spans="1:4" x14ac:dyDescent="0.45">
      <c r="A88" s="1">
        <v>45411</v>
      </c>
      <c r="B88">
        <v>0.91071999073028598</v>
      </c>
      <c r="C88">
        <f t="shared" si="2"/>
        <v>1.0980323372479419</v>
      </c>
      <c r="D88">
        <f t="shared" si="3"/>
        <v>3.2536756180826382E-3</v>
      </c>
    </row>
    <row r="89" spans="1:4" x14ac:dyDescent="0.45">
      <c r="A89" s="1">
        <v>45412</v>
      </c>
      <c r="B89">
        <v>0.91948997974395796</v>
      </c>
      <c r="C89">
        <f t="shared" si="2"/>
        <v>1.087559431891211</v>
      </c>
      <c r="D89">
        <f t="shared" si="3"/>
        <v>-9.5836611967987234E-3</v>
      </c>
    </row>
    <row r="90" spans="1:4" x14ac:dyDescent="0.45">
      <c r="A90" s="1">
        <v>45413</v>
      </c>
      <c r="B90">
        <v>0.91636002063751198</v>
      </c>
      <c r="C90">
        <f t="shared" si="2"/>
        <v>1.091274147146118</v>
      </c>
      <c r="D90">
        <f t="shared" si="3"/>
        <v>3.4098233934551775E-3</v>
      </c>
    </row>
    <row r="91" spans="1:4" x14ac:dyDescent="0.45">
      <c r="A91" s="1">
        <v>45414</v>
      </c>
      <c r="B91">
        <v>0.90977001190185502</v>
      </c>
      <c r="C91">
        <f t="shared" si="2"/>
        <v>1.0991788989719733</v>
      </c>
      <c r="D91">
        <f t="shared" si="3"/>
        <v>7.2174896918842241E-3</v>
      </c>
    </row>
    <row r="92" spans="1:4" x14ac:dyDescent="0.45">
      <c r="A92" s="1">
        <v>45417</v>
      </c>
      <c r="B92">
        <v>0.90593999624252297</v>
      </c>
      <c r="C92">
        <f t="shared" si="2"/>
        <v>1.1038258650104866</v>
      </c>
      <c r="D92">
        <f t="shared" si="3"/>
        <v>4.218758857613511E-3</v>
      </c>
    </row>
    <row r="93" spans="1:4" x14ac:dyDescent="0.45">
      <c r="A93" s="1">
        <v>45418</v>
      </c>
      <c r="B93">
        <v>0.90670001506805398</v>
      </c>
      <c r="C93">
        <f t="shared" si="2"/>
        <v>1.1029006103247316</v>
      </c>
      <c r="D93">
        <f t="shared" si="3"/>
        <v>-8.3857673374332364E-4</v>
      </c>
    </row>
    <row r="94" spans="1:4" x14ac:dyDescent="0.45">
      <c r="A94" s="1">
        <v>45419</v>
      </c>
      <c r="B94">
        <v>0.90847998857498202</v>
      </c>
      <c r="C94">
        <f t="shared" si="2"/>
        <v>1.1007397109193058</v>
      </c>
      <c r="D94">
        <f t="shared" si="3"/>
        <v>-1.9612094380591361E-3</v>
      </c>
    </row>
    <row r="95" spans="1:4" x14ac:dyDescent="0.45">
      <c r="A95" s="1">
        <v>45420</v>
      </c>
      <c r="B95">
        <v>0.90798997879028298</v>
      </c>
      <c r="C95">
        <f t="shared" si="2"/>
        <v>1.1013337408550501</v>
      </c>
      <c r="D95">
        <f t="shared" si="3"/>
        <v>5.3951874282383294E-4</v>
      </c>
    </row>
    <row r="96" spans="1:4" x14ac:dyDescent="0.45">
      <c r="A96" s="1">
        <v>45421</v>
      </c>
      <c r="B96">
        <v>0.90584999322891202</v>
      </c>
      <c r="C96">
        <f t="shared" si="2"/>
        <v>1.103935538416785</v>
      </c>
      <c r="D96">
        <f t="shared" si="3"/>
        <v>2.3596200186365296E-3</v>
      </c>
    </row>
    <row r="97" spans="1:4" x14ac:dyDescent="0.45">
      <c r="A97" s="1">
        <v>45424</v>
      </c>
      <c r="B97">
        <v>0.90644997358322099</v>
      </c>
      <c r="C97">
        <f t="shared" si="2"/>
        <v>1.1032048421238001</v>
      </c>
      <c r="D97">
        <f t="shared" si="3"/>
        <v>-6.6212038538387974E-4</v>
      </c>
    </row>
    <row r="98" spans="1:4" x14ac:dyDescent="0.45">
      <c r="A98" s="1">
        <v>45425</v>
      </c>
      <c r="B98">
        <v>0.90789997577667203</v>
      </c>
      <c r="C98">
        <f t="shared" si="2"/>
        <v>1.1014429195733155</v>
      </c>
      <c r="D98">
        <f t="shared" si="3"/>
        <v>-1.5983713645396497E-3</v>
      </c>
    </row>
    <row r="99" spans="1:4" x14ac:dyDescent="0.45">
      <c r="A99" s="1">
        <v>45426</v>
      </c>
      <c r="B99">
        <v>0.90670001506805398</v>
      </c>
      <c r="C99">
        <f t="shared" si="2"/>
        <v>1.1029006103247316</v>
      </c>
      <c r="D99">
        <f t="shared" si="3"/>
        <v>1.3225624265223029E-3</v>
      </c>
    </row>
    <row r="100" spans="1:4" x14ac:dyDescent="0.45">
      <c r="A100" s="1">
        <v>45427</v>
      </c>
      <c r="B100">
        <v>0.90052998065948497</v>
      </c>
      <c r="C100">
        <f t="shared" si="2"/>
        <v>1.11045719906812</v>
      </c>
      <c r="D100">
        <f t="shared" si="3"/>
        <v>6.828193861208795E-3</v>
      </c>
    </row>
    <row r="101" spans="1:4" x14ac:dyDescent="0.45">
      <c r="A101" s="1">
        <v>45428</v>
      </c>
      <c r="B101">
        <v>0.90599000453948997</v>
      </c>
      <c r="C101">
        <f t="shared" si="2"/>
        <v>1.103764936687458</v>
      </c>
      <c r="D101">
        <f t="shared" si="3"/>
        <v>-6.0448160556338948E-3</v>
      </c>
    </row>
    <row r="102" spans="1:4" x14ac:dyDescent="0.45">
      <c r="A102" s="1">
        <v>45431</v>
      </c>
      <c r="B102">
        <v>0.90869998931884799</v>
      </c>
      <c r="C102">
        <f t="shared" si="2"/>
        <v>1.1004732164128115</v>
      </c>
      <c r="D102">
        <f t="shared" si="3"/>
        <v>-2.9867214819780941E-3</v>
      </c>
    </row>
    <row r="103" spans="1:4" x14ac:dyDescent="0.45">
      <c r="A103" s="1">
        <v>45432</v>
      </c>
      <c r="B103">
        <v>0.91012001037597701</v>
      </c>
      <c r="C103">
        <f t="shared" si="2"/>
        <v>1.0987561954460192</v>
      </c>
      <c r="D103">
        <f t="shared" si="3"/>
        <v>-1.561475402615517E-3</v>
      </c>
    </row>
    <row r="104" spans="1:4" x14ac:dyDescent="0.45">
      <c r="A104" s="1">
        <v>45433</v>
      </c>
      <c r="B104">
        <v>0.91115999221801802</v>
      </c>
      <c r="C104">
        <f t="shared" si="2"/>
        <v>1.0975020946274436</v>
      </c>
      <c r="D104">
        <f t="shared" si="3"/>
        <v>-1.1420341228060849E-3</v>
      </c>
    </row>
    <row r="105" spans="1:4" x14ac:dyDescent="0.45">
      <c r="A105" s="1">
        <v>45434</v>
      </c>
      <c r="B105">
        <v>0.91500002145767201</v>
      </c>
      <c r="C105">
        <f t="shared" si="2"/>
        <v>1.092896149233872</v>
      </c>
      <c r="D105">
        <f t="shared" si="3"/>
        <v>-4.205584254127509E-3</v>
      </c>
    </row>
    <row r="106" spans="1:4" x14ac:dyDescent="0.45">
      <c r="A106" s="1">
        <v>45435</v>
      </c>
      <c r="B106">
        <v>0.91433000564575195</v>
      </c>
      <c r="C106">
        <f t="shared" si="2"/>
        <v>1.0936970172971006</v>
      </c>
      <c r="D106">
        <f t="shared" si="3"/>
        <v>7.3252593239453434E-4</v>
      </c>
    </row>
    <row r="107" spans="1:4" x14ac:dyDescent="0.45">
      <c r="A107" s="1">
        <v>45438</v>
      </c>
      <c r="B107">
        <v>0.91439998149871804</v>
      </c>
      <c r="C107">
        <f t="shared" si="2"/>
        <v>1.0936133204650573</v>
      </c>
      <c r="D107">
        <f t="shared" si="3"/>
        <v>-7.6529453218524002E-5</v>
      </c>
    </row>
    <row r="108" spans="1:4" x14ac:dyDescent="0.45">
      <c r="A108" s="1">
        <v>45439</v>
      </c>
      <c r="B108">
        <v>0.91320002079009999</v>
      </c>
      <c r="C108">
        <f t="shared" si="2"/>
        <v>1.0950503473869839</v>
      </c>
      <c r="D108">
        <f t="shared" si="3"/>
        <v>1.3131548255056746E-3</v>
      </c>
    </row>
    <row r="109" spans="1:4" x14ac:dyDescent="0.45">
      <c r="A109" s="1">
        <v>45440</v>
      </c>
      <c r="B109">
        <v>0.91228997707366899</v>
      </c>
      <c r="C109">
        <f t="shared" si="2"/>
        <v>1.0961427014770855</v>
      </c>
      <c r="D109">
        <f t="shared" si="3"/>
        <v>9.9704056761165671E-4</v>
      </c>
    </row>
    <row r="110" spans="1:4" x14ac:dyDescent="0.45">
      <c r="A110" s="1">
        <v>45441</v>
      </c>
      <c r="B110">
        <v>0.91280001401901201</v>
      </c>
      <c r="C110">
        <f t="shared" si="2"/>
        <v>1.0955302198091024</v>
      </c>
      <c r="D110">
        <f t="shared" si="3"/>
        <v>-5.5891705188200469E-4</v>
      </c>
    </row>
    <row r="111" spans="1:4" x14ac:dyDescent="0.45">
      <c r="A111" s="1">
        <v>45442</v>
      </c>
      <c r="B111">
        <v>0.90331000089645397</v>
      </c>
      <c r="C111">
        <f t="shared" si="2"/>
        <v>1.1070396641325679</v>
      </c>
      <c r="D111">
        <f t="shared" si="3"/>
        <v>1.0451018299979853E-2</v>
      </c>
    </row>
    <row r="112" spans="1:4" x14ac:dyDescent="0.45">
      <c r="A112" s="1">
        <v>45445</v>
      </c>
      <c r="B112">
        <v>0.901319980621338</v>
      </c>
      <c r="C112">
        <f t="shared" si="2"/>
        <v>1.1094838919588086</v>
      </c>
      <c r="D112">
        <f t="shared" si="3"/>
        <v>2.205461620529911E-3</v>
      </c>
    </row>
    <row r="113" spans="1:4" x14ac:dyDescent="0.45">
      <c r="A113" s="1">
        <v>45446</v>
      </c>
      <c r="B113">
        <v>0.89502000808715798</v>
      </c>
      <c r="C113">
        <f t="shared" si="2"/>
        <v>1.1172934582068237</v>
      </c>
      <c r="D113">
        <f t="shared" si="3"/>
        <v>7.0142605559848081E-3</v>
      </c>
    </row>
    <row r="114" spans="1:4" x14ac:dyDescent="0.45">
      <c r="A114" s="1">
        <v>45447</v>
      </c>
      <c r="B114">
        <v>0.88994997739791903</v>
      </c>
      <c r="C114">
        <f t="shared" si="2"/>
        <v>1.1236586610450294</v>
      </c>
      <c r="D114">
        <f t="shared" si="3"/>
        <v>5.6808174538844625E-3</v>
      </c>
    </row>
    <row r="115" spans="1:4" x14ac:dyDescent="0.45">
      <c r="A115" s="1">
        <v>45448</v>
      </c>
      <c r="B115">
        <v>0.89249998331069902</v>
      </c>
      <c r="C115">
        <f t="shared" si="2"/>
        <v>1.1204482002235263</v>
      </c>
      <c r="D115">
        <f t="shared" si="3"/>
        <v>-2.8612389785587639E-3</v>
      </c>
    </row>
    <row r="116" spans="1:4" x14ac:dyDescent="0.45">
      <c r="A116" s="1">
        <v>45449</v>
      </c>
      <c r="B116">
        <v>0.88972002267837502</v>
      </c>
      <c r="C116">
        <f t="shared" si="2"/>
        <v>1.1239490789356892</v>
      </c>
      <c r="D116">
        <f t="shared" si="3"/>
        <v>3.1196629794286723E-3</v>
      </c>
    </row>
    <row r="117" spans="1:4" x14ac:dyDescent="0.45">
      <c r="A117" s="1">
        <v>45452</v>
      </c>
      <c r="B117">
        <v>0.89609998464584395</v>
      </c>
      <c r="C117">
        <f t="shared" si="2"/>
        <v>1.1159469000495736</v>
      </c>
      <c r="D117">
        <f t="shared" si="3"/>
        <v>-7.1451647808826041E-3</v>
      </c>
    </row>
    <row r="118" spans="1:4" x14ac:dyDescent="0.45">
      <c r="A118" s="1">
        <v>45453</v>
      </c>
      <c r="B118">
        <v>0.89657998085021995</v>
      </c>
      <c r="C118">
        <f t="shared" si="2"/>
        <v>1.1153494628016427</v>
      </c>
      <c r="D118">
        <f t="shared" si="3"/>
        <v>-5.3550686690910509E-4</v>
      </c>
    </row>
    <row r="119" spans="1:4" x14ac:dyDescent="0.45">
      <c r="A119" s="1">
        <v>45454</v>
      </c>
      <c r="B119">
        <v>0.897780001163483</v>
      </c>
      <c r="C119">
        <f t="shared" si="2"/>
        <v>1.1138586276192881</v>
      </c>
      <c r="D119">
        <f t="shared" si="3"/>
        <v>-1.3375470966784098E-3</v>
      </c>
    </row>
    <row r="120" spans="1:4" x14ac:dyDescent="0.45">
      <c r="A120" s="1">
        <v>45455</v>
      </c>
      <c r="B120">
        <v>0.89425998926162698</v>
      </c>
      <c r="C120">
        <f t="shared" si="2"/>
        <v>1.1182430300003476</v>
      </c>
      <c r="D120">
        <f t="shared" si="3"/>
        <v>3.928502095632655E-3</v>
      </c>
    </row>
    <row r="121" spans="1:4" x14ac:dyDescent="0.45">
      <c r="A121" s="1">
        <v>45456</v>
      </c>
      <c r="B121">
        <v>0.89393001794815097</v>
      </c>
      <c r="C121">
        <f t="shared" si="2"/>
        <v>1.1186558007027361</v>
      </c>
      <c r="D121">
        <f t="shared" si="3"/>
        <v>3.6905621426225332E-4</v>
      </c>
    </row>
    <row r="122" spans="1:4" x14ac:dyDescent="0.45">
      <c r="A122" s="1">
        <v>45459</v>
      </c>
      <c r="B122">
        <v>0.89073002338409402</v>
      </c>
      <c r="C122">
        <f t="shared" si="2"/>
        <v>1.1226746306369728</v>
      </c>
      <c r="D122">
        <f t="shared" si="3"/>
        <v>3.5861149118949498E-3</v>
      </c>
    </row>
    <row r="123" spans="1:4" x14ac:dyDescent="0.45">
      <c r="A123" s="1">
        <v>45460</v>
      </c>
      <c r="B123">
        <v>0.888300001621246</v>
      </c>
      <c r="C123">
        <f t="shared" si="2"/>
        <v>1.1257458045422595</v>
      </c>
      <c r="D123">
        <f t="shared" si="3"/>
        <v>2.731851896782489E-3</v>
      </c>
    </row>
    <row r="124" spans="1:4" x14ac:dyDescent="0.45">
      <c r="A124" s="1">
        <v>45461</v>
      </c>
      <c r="B124">
        <v>0.88418000936508201</v>
      </c>
      <c r="C124">
        <f t="shared" si="2"/>
        <v>1.1309914151057168</v>
      </c>
      <c r="D124">
        <f t="shared" si="3"/>
        <v>4.6488531895131913E-3</v>
      </c>
    </row>
    <row r="125" spans="1:4" x14ac:dyDescent="0.45">
      <c r="A125" s="1">
        <v>45462</v>
      </c>
      <c r="B125">
        <v>0.88429999351501498</v>
      </c>
      <c r="C125">
        <f t="shared" si="2"/>
        <v>1.1308379592145961</v>
      </c>
      <c r="D125">
        <f t="shared" si="3"/>
        <v>-1.3569183696915399E-4</v>
      </c>
    </row>
    <row r="126" spans="1:4" x14ac:dyDescent="0.45">
      <c r="A126" s="1">
        <v>45463</v>
      </c>
      <c r="B126">
        <v>0.89148998260498002</v>
      </c>
      <c r="C126">
        <f t="shared" si="2"/>
        <v>1.1217175958365209</v>
      </c>
      <c r="D126">
        <f t="shared" si="3"/>
        <v>-8.0978364298457117E-3</v>
      </c>
    </row>
    <row r="127" spans="1:4" x14ac:dyDescent="0.45">
      <c r="A127" s="1">
        <v>45466</v>
      </c>
      <c r="B127">
        <v>0.89410001039505005</v>
      </c>
      <c r="C127">
        <f t="shared" si="2"/>
        <v>1.1184431141636595</v>
      </c>
      <c r="D127">
        <f t="shared" si="3"/>
        <v>-2.9234366894766439E-3</v>
      </c>
    </row>
    <row r="128" spans="1:4" x14ac:dyDescent="0.45">
      <c r="A128" s="1">
        <v>45467</v>
      </c>
      <c r="B128">
        <v>0.89319002628326405</v>
      </c>
      <c r="C128">
        <f t="shared" si="2"/>
        <v>1.1195825866542564</v>
      </c>
      <c r="D128">
        <f t="shared" si="3"/>
        <v>1.0182837387796989E-3</v>
      </c>
    </row>
    <row r="129" spans="1:4" x14ac:dyDescent="0.45">
      <c r="A129" s="1">
        <v>45468</v>
      </c>
      <c r="B129">
        <v>0.89520001411437999</v>
      </c>
      <c r="C129">
        <f t="shared" si="2"/>
        <v>1.1170687938262585</v>
      </c>
      <c r="D129">
        <f t="shared" si="3"/>
        <v>-2.2478191356842259E-3</v>
      </c>
    </row>
    <row r="130" spans="1:4" x14ac:dyDescent="0.45">
      <c r="A130" s="1">
        <v>45469</v>
      </c>
      <c r="B130">
        <v>0.89670002460479703</v>
      </c>
      <c r="C130">
        <f t="shared" ref="C130:C193" si="4">1/B130</f>
        <v>1.1152001478317461</v>
      </c>
      <c r="D130">
        <f t="shared" si="3"/>
        <v>-1.6742126328264384E-3</v>
      </c>
    </row>
    <row r="131" spans="1:4" x14ac:dyDescent="0.45">
      <c r="A131" s="1">
        <v>45470</v>
      </c>
      <c r="B131">
        <v>0.89851999282836903</v>
      </c>
      <c r="C131">
        <f t="shared" si="4"/>
        <v>1.1129412901010598</v>
      </c>
      <c r="D131">
        <f t="shared" si="3"/>
        <v>-2.027571918089735E-3</v>
      </c>
    </row>
    <row r="132" spans="1:4" x14ac:dyDescent="0.45">
      <c r="A132" s="1">
        <v>45473</v>
      </c>
      <c r="B132">
        <v>0.90020000934600797</v>
      </c>
      <c r="C132">
        <f t="shared" si="4"/>
        <v>1.1108642408552032</v>
      </c>
      <c r="D132">
        <f t="shared" ref="D132:D195" si="5">LN(C132)-LN(C131)</f>
        <v>-1.8680139256132544E-3</v>
      </c>
    </row>
    <row r="133" spans="1:4" x14ac:dyDescent="0.45">
      <c r="A133" s="1">
        <v>45474</v>
      </c>
      <c r="B133">
        <v>0.90315997600555398</v>
      </c>
      <c r="C133">
        <f t="shared" si="4"/>
        <v>1.107223555701333</v>
      </c>
      <c r="D133">
        <f t="shared" si="5"/>
        <v>-3.282727066933E-3</v>
      </c>
    </row>
    <row r="134" spans="1:4" x14ac:dyDescent="0.45">
      <c r="A134" s="1">
        <v>45475</v>
      </c>
      <c r="B134">
        <v>0.90368998050689697</v>
      </c>
      <c r="C134">
        <f t="shared" si="4"/>
        <v>1.106574180936565</v>
      </c>
      <c r="D134">
        <f t="shared" si="5"/>
        <v>-5.8666134908864909E-4</v>
      </c>
    </row>
    <row r="135" spans="1:4" x14ac:dyDescent="0.45">
      <c r="A135" s="1">
        <v>45476</v>
      </c>
      <c r="B135">
        <v>0.90075999498367298</v>
      </c>
      <c r="C135">
        <f t="shared" si="4"/>
        <v>1.1101736373384632</v>
      </c>
      <c r="D135">
        <f t="shared" si="5"/>
        <v>3.2475137998553005E-3</v>
      </c>
    </row>
    <row r="136" spans="1:4" x14ac:dyDescent="0.45">
      <c r="A136" s="1">
        <v>45477</v>
      </c>
      <c r="B136">
        <v>0.90025001764297496</v>
      </c>
      <c r="C136">
        <f t="shared" si="4"/>
        <v>1.1108025330765217</v>
      </c>
      <c r="D136">
        <f t="shared" si="5"/>
        <v>5.6632373029862071E-4</v>
      </c>
    </row>
    <row r="137" spans="1:4" x14ac:dyDescent="0.45">
      <c r="A137" s="1">
        <v>45480</v>
      </c>
      <c r="B137">
        <v>0.89522999525070202</v>
      </c>
      <c r="C137">
        <f t="shared" si="4"/>
        <v>1.1170313833373713</v>
      </c>
      <c r="D137">
        <f t="shared" si="5"/>
        <v>5.5918589314191136E-3</v>
      </c>
    </row>
    <row r="138" spans="1:4" x14ac:dyDescent="0.45">
      <c r="A138" s="1">
        <v>45481</v>
      </c>
      <c r="B138">
        <v>0.89780998229980502</v>
      </c>
      <c r="C138">
        <f t="shared" si="4"/>
        <v>1.1138214318339699</v>
      </c>
      <c r="D138">
        <f t="shared" si="5"/>
        <v>-2.8777817136775019E-3</v>
      </c>
    </row>
    <row r="139" spans="1:4" x14ac:dyDescent="0.45">
      <c r="A139" s="1">
        <v>45482</v>
      </c>
      <c r="B139">
        <v>0.89740002155303999</v>
      </c>
      <c r="C139">
        <f t="shared" si="4"/>
        <v>1.1143302607341157</v>
      </c>
      <c r="D139">
        <f t="shared" si="5"/>
        <v>4.5672735001672793E-4</v>
      </c>
    </row>
    <row r="140" spans="1:4" x14ac:dyDescent="0.45">
      <c r="A140" s="1">
        <v>45483</v>
      </c>
      <c r="B140">
        <v>0.89920002222061202</v>
      </c>
      <c r="C140">
        <f t="shared" si="4"/>
        <v>1.1120996166464256</v>
      </c>
      <c r="D140">
        <f t="shared" si="5"/>
        <v>-2.0037862918731442E-3</v>
      </c>
    </row>
    <row r="141" spans="1:4" x14ac:dyDescent="0.45">
      <c r="A141" s="1">
        <v>45484</v>
      </c>
      <c r="B141">
        <v>0.89603000879287698</v>
      </c>
      <c r="C141">
        <f t="shared" si="4"/>
        <v>1.1160340504077428</v>
      </c>
      <c r="D141">
        <f t="shared" si="5"/>
        <v>3.5315994805375783E-3</v>
      </c>
    </row>
    <row r="142" spans="1:4" x14ac:dyDescent="0.45">
      <c r="A142" s="1">
        <v>45487</v>
      </c>
      <c r="B142">
        <v>0.89688998460769698</v>
      </c>
      <c r="C142">
        <f t="shared" si="4"/>
        <v>1.114963950051693</v>
      </c>
      <c r="D142">
        <f t="shared" si="5"/>
        <v>-9.5930201451878416E-4</v>
      </c>
    </row>
    <row r="143" spans="1:4" x14ac:dyDescent="0.45">
      <c r="A143" s="1">
        <v>45488</v>
      </c>
      <c r="B143">
        <v>0.89547002315521196</v>
      </c>
      <c r="C143">
        <f t="shared" si="4"/>
        <v>1.1167319666117621</v>
      </c>
      <c r="D143">
        <f t="shared" si="5"/>
        <v>1.5844604246965377E-3</v>
      </c>
    </row>
    <row r="144" spans="1:4" x14ac:dyDescent="0.45">
      <c r="A144" s="1">
        <v>45489</v>
      </c>
      <c r="B144">
        <v>0.89322000741958596</v>
      </c>
      <c r="C144">
        <f t="shared" si="4"/>
        <v>1.1195450076055615</v>
      </c>
      <c r="D144">
        <f t="shared" si="5"/>
        <v>2.51582653666442E-3</v>
      </c>
    </row>
    <row r="145" spans="1:4" x14ac:dyDescent="0.45">
      <c r="A145" s="1">
        <v>45490</v>
      </c>
      <c r="B145">
        <v>0.88235002756118797</v>
      </c>
      <c r="C145">
        <f t="shared" si="4"/>
        <v>1.1333370757226542</v>
      </c>
      <c r="D145">
        <f t="shared" si="5"/>
        <v>1.2244085498222534E-2</v>
      </c>
    </row>
    <row r="146" spans="1:4" x14ac:dyDescent="0.45">
      <c r="A146" s="1">
        <v>45491</v>
      </c>
      <c r="B146">
        <v>0.88730001449585005</v>
      </c>
      <c r="C146">
        <f t="shared" si="4"/>
        <v>1.1270145200754722</v>
      </c>
      <c r="D146">
        <f t="shared" si="5"/>
        <v>-5.5943262529670329E-3</v>
      </c>
    </row>
    <row r="147" spans="1:4" x14ac:dyDescent="0.45">
      <c r="A147" s="1">
        <v>45494</v>
      </c>
      <c r="B147">
        <v>0.88801002502441395</v>
      </c>
      <c r="C147">
        <f t="shared" si="4"/>
        <v>1.1261134129341694</v>
      </c>
      <c r="D147">
        <f t="shared" si="5"/>
        <v>-7.9987219202665161E-4</v>
      </c>
    </row>
    <row r="148" spans="1:4" x14ac:dyDescent="0.45">
      <c r="A148" s="1">
        <v>45495</v>
      </c>
      <c r="B148">
        <v>0.88950002193450906</v>
      </c>
      <c r="C148">
        <f t="shared" si="4"/>
        <v>1.1242270661502318</v>
      </c>
      <c r="D148">
        <f t="shared" si="5"/>
        <v>-1.676499394906536E-3</v>
      </c>
    </row>
    <row r="149" spans="1:4" x14ac:dyDescent="0.45">
      <c r="A149" s="1">
        <v>45496</v>
      </c>
      <c r="B149">
        <v>0.89152002334594704</v>
      </c>
      <c r="C149">
        <f t="shared" si="4"/>
        <v>1.1216797983369109</v>
      </c>
      <c r="D149">
        <f t="shared" si="5"/>
        <v>-2.2683655728048119E-3</v>
      </c>
    </row>
    <row r="150" spans="1:4" x14ac:dyDescent="0.45">
      <c r="A150" s="1">
        <v>45497</v>
      </c>
      <c r="B150">
        <v>0.88502001762390103</v>
      </c>
      <c r="C150">
        <f t="shared" si="4"/>
        <v>1.1299179454548349</v>
      </c>
      <c r="D150">
        <f t="shared" si="5"/>
        <v>7.3176338018661469E-3</v>
      </c>
    </row>
    <row r="151" spans="1:4" x14ac:dyDescent="0.45">
      <c r="A151" s="1">
        <v>45498</v>
      </c>
      <c r="B151">
        <v>0.88063997030258201</v>
      </c>
      <c r="C151">
        <f t="shared" si="4"/>
        <v>1.1355378289908948</v>
      </c>
      <c r="D151">
        <f t="shared" si="5"/>
        <v>4.9613813938691881E-3</v>
      </c>
    </row>
    <row r="152" spans="1:4" x14ac:dyDescent="0.45">
      <c r="A152" s="1">
        <v>45501</v>
      </c>
      <c r="B152">
        <v>0.88429999351501498</v>
      </c>
      <c r="C152">
        <f t="shared" si="4"/>
        <v>1.1308379592145961</v>
      </c>
      <c r="D152">
        <f t="shared" si="5"/>
        <v>-4.1474821058937461E-3</v>
      </c>
    </row>
    <row r="153" spans="1:4" x14ac:dyDescent="0.45">
      <c r="A153" s="1">
        <v>45502</v>
      </c>
      <c r="B153">
        <v>0.886099994182587</v>
      </c>
      <c r="C153">
        <f t="shared" si="4"/>
        <v>1.1285408041588849</v>
      </c>
      <c r="D153">
        <f t="shared" si="5"/>
        <v>-2.0334402398466678E-3</v>
      </c>
    </row>
    <row r="154" spans="1:4" x14ac:dyDescent="0.45">
      <c r="A154" s="1">
        <v>45503</v>
      </c>
      <c r="B154">
        <v>0.882030010223389</v>
      </c>
      <c r="C154">
        <f t="shared" si="4"/>
        <v>1.1337482720647261</v>
      </c>
      <c r="D154">
        <f t="shared" si="5"/>
        <v>4.6037238635351641E-3</v>
      </c>
    </row>
    <row r="155" spans="1:4" x14ac:dyDescent="0.45">
      <c r="A155" s="1">
        <v>45504</v>
      </c>
      <c r="B155">
        <v>0.87813997268676802</v>
      </c>
      <c r="C155">
        <f t="shared" si="4"/>
        <v>1.1387706186980504</v>
      </c>
      <c r="D155">
        <f t="shared" si="5"/>
        <v>4.4200775012878946E-3</v>
      </c>
    </row>
    <row r="156" spans="1:4" x14ac:dyDescent="0.45">
      <c r="A156" s="1">
        <v>45505</v>
      </c>
      <c r="B156">
        <v>0.87290000915527299</v>
      </c>
      <c r="C156">
        <f t="shared" si="4"/>
        <v>1.1456065866784957</v>
      </c>
      <c r="D156">
        <f t="shared" si="5"/>
        <v>5.9849908936005225E-3</v>
      </c>
    </row>
    <row r="157" spans="1:4" x14ac:dyDescent="0.45">
      <c r="A157" s="1">
        <v>45508</v>
      </c>
      <c r="B157">
        <v>0.85610002279281605</v>
      </c>
      <c r="C157">
        <f t="shared" si="4"/>
        <v>1.1680878091064004</v>
      </c>
      <c r="D157">
        <f t="shared" si="5"/>
        <v>1.9433793857194293E-2</v>
      </c>
    </row>
    <row r="158" spans="1:4" x14ac:dyDescent="0.45">
      <c r="A158" s="1">
        <v>45509</v>
      </c>
      <c r="B158">
        <v>0.85483002662658703</v>
      </c>
      <c r="C158">
        <f t="shared" si="4"/>
        <v>1.1698232032703586</v>
      </c>
      <c r="D158">
        <f t="shared" si="5"/>
        <v>1.4845684660340086E-3</v>
      </c>
    </row>
    <row r="159" spans="1:4" x14ac:dyDescent="0.45">
      <c r="A159" s="1">
        <v>45510</v>
      </c>
      <c r="B159">
        <v>0.852550029754639</v>
      </c>
      <c r="C159">
        <f t="shared" si="4"/>
        <v>1.1729516920992855</v>
      </c>
      <c r="D159">
        <f t="shared" si="5"/>
        <v>2.6707565415015622E-3</v>
      </c>
    </row>
    <row r="160" spans="1:4" x14ac:dyDescent="0.45">
      <c r="A160" s="1">
        <v>45511</v>
      </c>
      <c r="B160">
        <v>0.85926997661590598</v>
      </c>
      <c r="C160">
        <f t="shared" si="4"/>
        <v>1.1637785878872857</v>
      </c>
      <c r="D160">
        <f t="shared" si="5"/>
        <v>-7.8512709931249092E-3</v>
      </c>
    </row>
    <row r="161" spans="1:4" x14ac:dyDescent="0.45">
      <c r="A161" s="1">
        <v>45512</v>
      </c>
      <c r="B161">
        <v>0.86685001850128196</v>
      </c>
      <c r="C161">
        <f t="shared" si="4"/>
        <v>1.1536020980064399</v>
      </c>
      <c r="D161">
        <f t="shared" si="5"/>
        <v>-8.7828084169742082E-3</v>
      </c>
    </row>
    <row r="162" spans="1:4" x14ac:dyDescent="0.45">
      <c r="A162" s="1">
        <v>45515</v>
      </c>
      <c r="B162">
        <v>0.86504000425338701</v>
      </c>
      <c r="C162">
        <f t="shared" si="4"/>
        <v>1.1560159010947666</v>
      </c>
      <c r="D162">
        <f t="shared" si="5"/>
        <v>2.0902192207497283E-3</v>
      </c>
    </row>
    <row r="163" spans="1:4" x14ac:dyDescent="0.45">
      <c r="A163" s="1">
        <v>45516</v>
      </c>
      <c r="B163">
        <v>0.86473000049591098</v>
      </c>
      <c r="C163">
        <f t="shared" si="4"/>
        <v>1.1564303301915204</v>
      </c>
      <c r="D163">
        <f t="shared" si="5"/>
        <v>3.5843350265510332E-4</v>
      </c>
    </row>
    <row r="164" spans="1:4" x14ac:dyDescent="0.45">
      <c r="A164" s="1">
        <v>45517</v>
      </c>
      <c r="B164">
        <v>0.86505001783371005</v>
      </c>
      <c r="C164">
        <f t="shared" si="4"/>
        <v>1.1560025193736618</v>
      </c>
      <c r="D164">
        <f t="shared" si="5"/>
        <v>-3.700092937357069E-4</v>
      </c>
    </row>
    <row r="165" spans="1:4" x14ac:dyDescent="0.45">
      <c r="A165" s="1">
        <v>45518</v>
      </c>
      <c r="B165">
        <v>0.86480599641799905</v>
      </c>
      <c r="C165">
        <f t="shared" si="4"/>
        <v>1.1563287074118016</v>
      </c>
      <c r="D165">
        <f t="shared" si="5"/>
        <v>2.8212916603376215E-4</v>
      </c>
    </row>
    <row r="166" spans="1:4" x14ac:dyDescent="0.45">
      <c r="A166" s="1">
        <v>45519</v>
      </c>
      <c r="B166">
        <v>0.87248998880386397</v>
      </c>
      <c r="C166">
        <f t="shared" si="4"/>
        <v>1.1461449561970851</v>
      </c>
      <c r="D166">
        <f t="shared" si="5"/>
        <v>-8.8459796811429237E-3</v>
      </c>
    </row>
    <row r="167" spans="1:4" x14ac:dyDescent="0.45">
      <c r="A167" s="1">
        <v>45522</v>
      </c>
      <c r="B167">
        <v>0.86757999658584595</v>
      </c>
      <c r="C167">
        <f t="shared" si="4"/>
        <v>1.1526314621536473</v>
      </c>
      <c r="D167">
        <f t="shared" si="5"/>
        <v>5.6434572064411326E-3</v>
      </c>
    </row>
    <row r="168" spans="1:4" x14ac:dyDescent="0.45">
      <c r="A168" s="1">
        <v>45523</v>
      </c>
      <c r="B168">
        <v>0.86237001419067405</v>
      </c>
      <c r="C168">
        <f t="shared" si="4"/>
        <v>1.1595950503201231</v>
      </c>
      <c r="D168">
        <f t="shared" si="5"/>
        <v>6.0232932908438896E-3</v>
      </c>
    </row>
    <row r="169" spans="1:4" x14ac:dyDescent="0.45">
      <c r="A169" s="1">
        <v>45524</v>
      </c>
      <c r="B169">
        <v>0.853559970855713</v>
      </c>
      <c r="C169">
        <f t="shared" si="4"/>
        <v>1.1715638433670661</v>
      </c>
      <c r="D169">
        <f t="shared" si="5"/>
        <v>1.0268624974137747E-2</v>
      </c>
    </row>
    <row r="170" spans="1:4" x14ac:dyDescent="0.45">
      <c r="A170" s="1">
        <v>45525</v>
      </c>
      <c r="B170">
        <v>0.85110002756118797</v>
      </c>
      <c r="C170">
        <f t="shared" si="4"/>
        <v>1.1749500265738237</v>
      </c>
      <c r="D170">
        <f t="shared" si="5"/>
        <v>2.8861415230972687E-3</v>
      </c>
    </row>
    <row r="171" spans="1:4" x14ac:dyDescent="0.45">
      <c r="A171" s="1">
        <v>45526</v>
      </c>
      <c r="B171">
        <v>0.85170000791549705</v>
      </c>
      <c r="C171">
        <f t="shared" si="4"/>
        <v>1.1741223326361843</v>
      </c>
      <c r="D171">
        <f t="shared" si="5"/>
        <v>-7.0469857486260556E-4</v>
      </c>
    </row>
    <row r="172" spans="1:4" x14ac:dyDescent="0.45">
      <c r="A172" s="1">
        <v>45529</v>
      </c>
      <c r="B172">
        <v>0.84732002019882202</v>
      </c>
      <c r="C172">
        <f t="shared" si="4"/>
        <v>1.1801916349921153</v>
      </c>
      <c r="D172">
        <f t="shared" si="5"/>
        <v>5.1559102860601891E-3</v>
      </c>
    </row>
    <row r="173" spans="1:4" x14ac:dyDescent="0.45">
      <c r="A173" s="1">
        <v>45530</v>
      </c>
      <c r="B173">
        <v>0.84710001945495605</v>
      </c>
      <c r="C173">
        <f t="shared" si="4"/>
        <v>1.1804981431158783</v>
      </c>
      <c r="D173">
        <f t="shared" si="5"/>
        <v>2.5967675069191176E-4</v>
      </c>
    </row>
    <row r="174" spans="1:4" x14ac:dyDescent="0.45">
      <c r="A174" s="1">
        <v>45531</v>
      </c>
      <c r="B174">
        <v>0.84171998500823997</v>
      </c>
      <c r="C174">
        <f t="shared" si="4"/>
        <v>1.1880435510750176</v>
      </c>
      <c r="D174">
        <f t="shared" si="5"/>
        <v>6.3713748444859664E-3</v>
      </c>
    </row>
    <row r="175" spans="1:4" x14ac:dyDescent="0.45">
      <c r="A175" s="1">
        <v>45532</v>
      </c>
      <c r="B175">
        <v>0.84182000160217296</v>
      </c>
      <c r="C175">
        <f t="shared" si="4"/>
        <v>1.1879023996778111</v>
      </c>
      <c r="D175">
        <f t="shared" si="5"/>
        <v>-1.1881701040197812E-4</v>
      </c>
    </row>
    <row r="176" spans="1:4" x14ac:dyDescent="0.45">
      <c r="A176" s="1">
        <v>45533</v>
      </c>
      <c r="B176">
        <v>0.84693998098373402</v>
      </c>
      <c r="C176">
        <f t="shared" si="4"/>
        <v>1.1807212110101171</v>
      </c>
      <c r="D176">
        <f t="shared" si="5"/>
        <v>-6.0636148673811341E-3</v>
      </c>
    </row>
    <row r="177" spans="1:4" x14ac:dyDescent="0.45">
      <c r="A177" s="1">
        <v>45536</v>
      </c>
      <c r="B177">
        <v>0.850499987602234</v>
      </c>
      <c r="C177">
        <f t="shared" si="4"/>
        <v>1.1757789706960995</v>
      </c>
      <c r="D177">
        <f t="shared" si="5"/>
        <v>-4.1945658215417903E-3</v>
      </c>
    </row>
    <row r="178" spans="1:4" x14ac:dyDescent="0.45">
      <c r="A178" s="1">
        <v>45537</v>
      </c>
      <c r="B178">
        <v>0.85136997699737504</v>
      </c>
      <c r="C178">
        <f t="shared" si="4"/>
        <v>1.1745774774990487</v>
      </c>
      <c r="D178">
        <f t="shared" si="5"/>
        <v>-1.0223924142502838E-3</v>
      </c>
    </row>
    <row r="179" spans="1:4" x14ac:dyDescent="0.45">
      <c r="A179" s="1">
        <v>45538</v>
      </c>
      <c r="B179">
        <v>0.84992998838424705</v>
      </c>
      <c r="C179">
        <f t="shared" si="4"/>
        <v>1.176567498107747</v>
      </c>
      <c r="D179">
        <f t="shared" si="5"/>
        <v>1.6928101878554702E-3</v>
      </c>
    </row>
    <row r="180" spans="1:4" x14ac:dyDescent="0.45">
      <c r="A180" s="1">
        <v>45539</v>
      </c>
      <c r="B180">
        <v>0.84604001045227095</v>
      </c>
      <c r="C180">
        <f t="shared" si="4"/>
        <v>1.1819771968768074</v>
      </c>
      <c r="D180">
        <f t="shared" si="5"/>
        <v>4.5873273185589869E-3</v>
      </c>
    </row>
    <row r="181" spans="1:4" x14ac:dyDescent="0.45">
      <c r="A181" s="1">
        <v>45540</v>
      </c>
      <c r="B181">
        <v>0.84381002187728904</v>
      </c>
      <c r="C181">
        <f t="shared" si="4"/>
        <v>1.1851008806167331</v>
      </c>
      <c r="D181">
        <f t="shared" si="5"/>
        <v>2.6392754703495058E-3</v>
      </c>
    </row>
    <row r="182" spans="1:4" x14ac:dyDescent="0.45">
      <c r="A182" s="1">
        <v>45543</v>
      </c>
      <c r="B182">
        <v>0.84394001960754395</v>
      </c>
      <c r="C182">
        <f t="shared" si="4"/>
        <v>1.1849183315954472</v>
      </c>
      <c r="D182">
        <f t="shared" si="5"/>
        <v>-1.5404855851483545E-4</v>
      </c>
    </row>
    <row r="183" spans="1:4" x14ac:dyDescent="0.45">
      <c r="A183" s="1">
        <v>45544</v>
      </c>
      <c r="B183">
        <v>0.84944999217987105</v>
      </c>
      <c r="C183">
        <f t="shared" si="4"/>
        <v>1.1772323376374227</v>
      </c>
      <c r="D183">
        <f t="shared" si="5"/>
        <v>-6.5076467669298865E-3</v>
      </c>
    </row>
    <row r="184" spans="1:4" x14ac:dyDescent="0.45">
      <c r="A184" s="1">
        <v>45545</v>
      </c>
      <c r="B184">
        <v>0.84662002325057995</v>
      </c>
      <c r="C184">
        <f t="shared" si="4"/>
        <v>1.1811674334851199</v>
      </c>
      <c r="D184">
        <f t="shared" si="5"/>
        <v>3.3370928438092862E-3</v>
      </c>
    </row>
    <row r="185" spans="1:4" x14ac:dyDescent="0.45">
      <c r="A185" s="1">
        <v>45546</v>
      </c>
      <c r="B185">
        <v>0.85259997844696001</v>
      </c>
      <c r="C185">
        <f t="shared" si="4"/>
        <v>1.1728829759314963</v>
      </c>
      <c r="D185">
        <f t="shared" si="5"/>
        <v>-7.038499873910864E-3</v>
      </c>
    </row>
    <row r="186" spans="1:4" x14ac:dyDescent="0.45">
      <c r="A186" s="1">
        <v>45547</v>
      </c>
      <c r="B186">
        <v>0.84987998008728005</v>
      </c>
      <c r="C186">
        <f t="shared" si="4"/>
        <v>1.1766367292206401</v>
      </c>
      <c r="D186">
        <f t="shared" si="5"/>
        <v>3.1953394345159425E-3</v>
      </c>
    </row>
    <row r="187" spans="1:4" x14ac:dyDescent="0.45">
      <c r="A187" s="1">
        <v>45550</v>
      </c>
      <c r="B187">
        <v>0.84769999980926503</v>
      </c>
      <c r="C187">
        <f t="shared" si="4"/>
        <v>1.1796626167571109</v>
      </c>
      <c r="D187">
        <f t="shared" si="5"/>
        <v>2.5683402280436696E-3</v>
      </c>
    </row>
    <row r="188" spans="1:4" x14ac:dyDescent="0.45">
      <c r="A188" s="1">
        <v>45551</v>
      </c>
      <c r="B188">
        <v>0.84457999467849698</v>
      </c>
      <c r="C188">
        <f t="shared" si="4"/>
        <v>1.1840204673337855</v>
      </c>
      <c r="D188">
        <f t="shared" si="5"/>
        <v>3.6873433191033089E-3</v>
      </c>
    </row>
    <row r="189" spans="1:4" x14ac:dyDescent="0.45">
      <c r="A189" s="1">
        <v>45552</v>
      </c>
      <c r="B189">
        <v>0.84632998704910301</v>
      </c>
      <c r="C189">
        <f t="shared" si="4"/>
        <v>1.1815722180501933</v>
      </c>
      <c r="D189">
        <f t="shared" si="5"/>
        <v>-2.0698830976514093E-3</v>
      </c>
    </row>
    <row r="190" spans="1:4" x14ac:dyDescent="0.45">
      <c r="A190" s="1">
        <v>45553</v>
      </c>
      <c r="B190">
        <v>0.84729999303817705</v>
      </c>
      <c r="C190">
        <f t="shared" si="4"/>
        <v>1.180219530528124</v>
      </c>
      <c r="D190">
        <f t="shared" si="5"/>
        <v>-1.1454758200339366E-3</v>
      </c>
    </row>
    <row r="191" spans="1:4" x14ac:dyDescent="0.45">
      <c r="A191" s="1">
        <v>45554</v>
      </c>
      <c r="B191">
        <v>0.84777998924255404</v>
      </c>
      <c r="C191">
        <f t="shared" si="4"/>
        <v>1.1795513136532585</v>
      </c>
      <c r="D191">
        <f t="shared" si="5"/>
        <v>-5.6634049392853547E-4</v>
      </c>
    </row>
    <row r="192" spans="1:4" x14ac:dyDescent="0.45">
      <c r="A192" s="1">
        <v>45557</v>
      </c>
      <c r="B192">
        <v>0.85089999437332198</v>
      </c>
      <c r="C192">
        <f t="shared" si="4"/>
        <v>1.175226238820801</v>
      </c>
      <c r="D192">
        <f t="shared" si="5"/>
        <v>-3.6734507610245715E-3</v>
      </c>
    </row>
    <row r="193" spans="1:4" x14ac:dyDescent="0.45">
      <c r="A193" s="1">
        <v>45558</v>
      </c>
      <c r="B193">
        <v>0.84732002019882202</v>
      </c>
      <c r="C193">
        <f t="shared" si="4"/>
        <v>1.1801916349921153</v>
      </c>
      <c r="D193">
        <f t="shared" si="5"/>
        <v>4.2161550881551768E-3</v>
      </c>
    </row>
    <row r="194" spans="1:4" x14ac:dyDescent="0.45">
      <c r="A194" s="1">
        <v>45559</v>
      </c>
      <c r="B194">
        <v>0.84150999784469604</v>
      </c>
      <c r="C194">
        <f t="shared" ref="C194:C257" si="6">1/B194</f>
        <v>1.1883400108866609</v>
      </c>
      <c r="D194">
        <f t="shared" si="5"/>
        <v>6.8805566144236052E-3</v>
      </c>
    </row>
    <row r="195" spans="1:4" x14ac:dyDescent="0.45">
      <c r="A195" s="1">
        <v>45560</v>
      </c>
      <c r="B195">
        <v>0.85057002305984497</v>
      </c>
      <c r="C195">
        <f t="shared" si="6"/>
        <v>1.1756821577165333</v>
      </c>
      <c r="D195">
        <f t="shared" si="5"/>
        <v>-1.0708845546569062E-2</v>
      </c>
    </row>
    <row r="196" spans="1:4" x14ac:dyDescent="0.45">
      <c r="A196" s="1">
        <v>45561</v>
      </c>
      <c r="B196">
        <v>0.84623998403549205</v>
      </c>
      <c r="C196">
        <f t="shared" si="6"/>
        <v>1.1816978857832592</v>
      </c>
      <c r="D196">
        <f t="shared" ref="D196:D259" si="7">LN(C196)-LN(C195)</f>
        <v>5.1037516344376588E-3</v>
      </c>
    </row>
    <row r="197" spans="1:4" x14ac:dyDescent="0.45">
      <c r="A197" s="1">
        <v>45564</v>
      </c>
      <c r="B197">
        <v>0.84049999713897705</v>
      </c>
      <c r="C197">
        <f t="shared" si="6"/>
        <v>1.189767999290843</v>
      </c>
      <c r="D197">
        <f t="shared" si="7"/>
        <v>6.8060390077279154E-3</v>
      </c>
    </row>
    <row r="198" spans="1:4" x14ac:dyDescent="0.45">
      <c r="A198" s="1">
        <v>45565</v>
      </c>
      <c r="B198">
        <v>0.84530997276306197</v>
      </c>
      <c r="C198">
        <f t="shared" si="6"/>
        <v>1.182997991531205</v>
      </c>
      <c r="D198">
        <f t="shared" si="7"/>
        <v>-5.7064423184317037E-3</v>
      </c>
    </row>
    <row r="199" spans="1:4" x14ac:dyDescent="0.45">
      <c r="A199" s="1">
        <v>45566</v>
      </c>
      <c r="B199">
        <v>0.84634000062942505</v>
      </c>
      <c r="C199">
        <f t="shared" si="6"/>
        <v>1.181558238126873</v>
      </c>
      <c r="D199">
        <f t="shared" si="7"/>
        <v>-1.2177791030734131E-3</v>
      </c>
    </row>
    <row r="200" spans="1:4" x14ac:dyDescent="0.45">
      <c r="A200" s="1">
        <v>45567</v>
      </c>
      <c r="B200">
        <v>0.84991002082824696</v>
      </c>
      <c r="C200">
        <f t="shared" si="6"/>
        <v>1.1765951400661081</v>
      </c>
      <c r="D200">
        <f t="shared" si="7"/>
        <v>-4.2093151656813765E-3</v>
      </c>
    </row>
    <row r="201" spans="1:4" x14ac:dyDescent="0.45">
      <c r="A201" s="1">
        <v>45568</v>
      </c>
      <c r="B201">
        <v>0.85180997848510698</v>
      </c>
      <c r="C201">
        <f t="shared" si="6"/>
        <v>1.1739707508221964</v>
      </c>
      <c r="D201">
        <f t="shared" si="7"/>
        <v>-2.2329859754776638E-3</v>
      </c>
    </row>
    <row r="202" spans="1:4" x14ac:dyDescent="0.45">
      <c r="A202" s="1">
        <v>45571</v>
      </c>
      <c r="B202">
        <v>0.85869002342224099</v>
      </c>
      <c r="C202">
        <f t="shared" si="6"/>
        <v>1.1645645957485091</v>
      </c>
      <c r="D202">
        <f t="shared" si="7"/>
        <v>-8.0445273693060537E-3</v>
      </c>
    </row>
    <row r="203" spans="1:4" x14ac:dyDescent="0.45">
      <c r="A203" s="1">
        <v>45572</v>
      </c>
      <c r="B203">
        <v>0.85457998514175404</v>
      </c>
      <c r="C203">
        <f t="shared" si="6"/>
        <v>1.170165481741448</v>
      </c>
      <c r="D203">
        <f t="shared" si="7"/>
        <v>4.7978965887436331E-3</v>
      </c>
    </row>
    <row r="204" spans="1:4" x14ac:dyDescent="0.45">
      <c r="A204" s="1">
        <v>45573</v>
      </c>
      <c r="B204">
        <v>0.85740000009536699</v>
      </c>
      <c r="C204">
        <f t="shared" si="6"/>
        <v>1.166316771505449</v>
      </c>
      <c r="D204">
        <f t="shared" si="7"/>
        <v>-3.2944514871613984E-3</v>
      </c>
    </row>
    <row r="205" spans="1:4" x14ac:dyDescent="0.45">
      <c r="A205" s="1">
        <v>45574</v>
      </c>
      <c r="B205">
        <v>0.86046999692916903</v>
      </c>
      <c r="C205">
        <f t="shared" si="6"/>
        <v>1.1621555702915654</v>
      </c>
      <c r="D205">
        <f t="shared" si="7"/>
        <v>-3.57419374848017E-3</v>
      </c>
    </row>
    <row r="206" spans="1:4" x14ac:dyDescent="0.45">
      <c r="A206" s="1">
        <v>45575</v>
      </c>
      <c r="B206">
        <v>0.85654997825622603</v>
      </c>
      <c r="C206">
        <f t="shared" si="6"/>
        <v>1.1674741992706732</v>
      </c>
      <c r="D206">
        <f t="shared" si="7"/>
        <v>4.5660802324122007E-3</v>
      </c>
    </row>
    <row r="207" spans="1:4" x14ac:dyDescent="0.45">
      <c r="A207" s="1">
        <v>45578</v>
      </c>
      <c r="B207">
        <v>0.85829997062683105</v>
      </c>
      <c r="C207">
        <f t="shared" si="6"/>
        <v>1.1650938299225189</v>
      </c>
      <c r="D207">
        <f t="shared" si="7"/>
        <v>-2.0409867105041779E-3</v>
      </c>
    </row>
    <row r="208" spans="1:4" x14ac:dyDescent="0.45">
      <c r="A208" s="1">
        <v>45579</v>
      </c>
      <c r="B208">
        <v>0.86210000514984098</v>
      </c>
      <c r="C208">
        <f t="shared" si="6"/>
        <v>1.1599582345741788</v>
      </c>
      <c r="D208">
        <f t="shared" si="7"/>
        <v>-4.4176246878029068E-3</v>
      </c>
    </row>
    <row r="209" spans="1:4" x14ac:dyDescent="0.45">
      <c r="A209" s="1">
        <v>45580</v>
      </c>
      <c r="B209">
        <v>0.86254000663757302</v>
      </c>
      <c r="C209">
        <f t="shared" si="6"/>
        <v>1.1593665132105411</v>
      </c>
      <c r="D209">
        <f t="shared" si="7"/>
        <v>-5.1025314763805674E-4</v>
      </c>
    </row>
    <row r="210" spans="1:4" x14ac:dyDescent="0.45">
      <c r="A210" s="1">
        <v>45581</v>
      </c>
      <c r="B210">
        <v>0.86529999971389804</v>
      </c>
      <c r="C210">
        <f t="shared" si="6"/>
        <v>1.1556685546407477</v>
      </c>
      <c r="D210">
        <f t="shared" si="7"/>
        <v>-3.1947349449363005E-3</v>
      </c>
    </row>
    <row r="211" spans="1:4" x14ac:dyDescent="0.45">
      <c r="A211" s="1">
        <v>45582</v>
      </c>
      <c r="B211">
        <v>0.86593002080917403</v>
      </c>
      <c r="C211">
        <f t="shared" si="6"/>
        <v>1.1548277296882992</v>
      </c>
      <c r="D211">
        <f t="shared" si="7"/>
        <v>-7.2783063558201633E-4</v>
      </c>
    </row>
    <row r="212" spans="1:4" x14ac:dyDescent="0.45">
      <c r="A212" s="1">
        <v>45585</v>
      </c>
      <c r="B212">
        <v>0.86492997407913197</v>
      </c>
      <c r="C212">
        <f t="shared" si="6"/>
        <v>1.1561629611283544</v>
      </c>
      <c r="D212">
        <f t="shared" si="7"/>
        <v>1.1555490845880922E-3</v>
      </c>
    </row>
    <row r="213" spans="1:4" x14ac:dyDescent="0.45">
      <c r="A213" s="1">
        <v>45586</v>
      </c>
      <c r="B213">
        <v>0.86540997028350797</v>
      </c>
      <c r="C213">
        <f t="shared" si="6"/>
        <v>1.1555216999318836</v>
      </c>
      <c r="D213">
        <f t="shared" si="7"/>
        <v>-5.5479990305010163E-4</v>
      </c>
    </row>
    <row r="214" spans="1:4" x14ac:dyDescent="0.45">
      <c r="A214" s="1">
        <v>45587</v>
      </c>
      <c r="B214">
        <v>0.86553001403808605</v>
      </c>
      <c r="C214">
        <f t="shared" si="6"/>
        <v>1.1553614360922635</v>
      </c>
      <c r="D214">
        <f t="shared" si="7"/>
        <v>-1.3870354357489734E-4</v>
      </c>
    </row>
    <row r="215" spans="1:4" x14ac:dyDescent="0.45">
      <c r="A215" s="1">
        <v>45588</v>
      </c>
      <c r="B215">
        <v>0.86673998832702603</v>
      </c>
      <c r="C215">
        <f t="shared" si="6"/>
        <v>1.1537485445089377</v>
      </c>
      <c r="D215">
        <f t="shared" si="7"/>
        <v>-1.3969813990497015E-3</v>
      </c>
    </row>
    <row r="216" spans="1:4" x14ac:dyDescent="0.45">
      <c r="A216" s="1">
        <v>45589</v>
      </c>
      <c r="B216">
        <v>0.86586999893188499</v>
      </c>
      <c r="C216">
        <f t="shared" si="6"/>
        <v>1.1549077820383826</v>
      </c>
      <c r="D216">
        <f t="shared" si="7"/>
        <v>1.0042530917585279E-3</v>
      </c>
    </row>
    <row r="217" spans="1:4" x14ac:dyDescent="0.45">
      <c r="A217" s="1">
        <v>45593</v>
      </c>
      <c r="B217">
        <v>0.86845999956131004</v>
      </c>
      <c r="C217">
        <f t="shared" si="6"/>
        <v>1.1514635107030093</v>
      </c>
      <c r="D217">
        <f t="shared" si="7"/>
        <v>-2.9867471093170117E-3</v>
      </c>
    </row>
    <row r="218" spans="1:4" x14ac:dyDescent="0.45">
      <c r="A218" s="1">
        <v>45594</v>
      </c>
      <c r="B218">
        <v>0.86485999822616599</v>
      </c>
      <c r="C218">
        <f t="shared" si="6"/>
        <v>1.1562565063143251</v>
      </c>
      <c r="D218">
        <f t="shared" si="7"/>
        <v>4.1538856254696999E-3</v>
      </c>
    </row>
    <row r="219" spans="1:4" x14ac:dyDescent="0.45">
      <c r="A219" s="1">
        <v>45595</v>
      </c>
      <c r="B219">
        <v>0.86721998453140303</v>
      </c>
      <c r="C219">
        <f t="shared" si="6"/>
        <v>1.1531099580694555</v>
      </c>
      <c r="D219">
        <f t="shared" si="7"/>
        <v>-2.7250332422637802E-3</v>
      </c>
    </row>
    <row r="220" spans="1:4" x14ac:dyDescent="0.45">
      <c r="A220" s="1">
        <v>45596</v>
      </c>
      <c r="B220">
        <v>0.86629998683929399</v>
      </c>
      <c r="C220">
        <f t="shared" si="6"/>
        <v>1.1543345436821628</v>
      </c>
      <c r="D220">
        <f t="shared" si="7"/>
        <v>1.0614216088382922E-3</v>
      </c>
    </row>
    <row r="221" spans="1:4" x14ac:dyDescent="0.45">
      <c r="A221" s="1">
        <v>45597</v>
      </c>
      <c r="B221">
        <v>0.86353999376296997</v>
      </c>
      <c r="C221">
        <f t="shared" si="6"/>
        <v>1.1580239562992221</v>
      </c>
      <c r="D221">
        <f t="shared" si="7"/>
        <v>3.1910413093678702E-3</v>
      </c>
    </row>
    <row r="222" spans="1:4" x14ac:dyDescent="0.45">
      <c r="A222" s="1">
        <v>45600</v>
      </c>
      <c r="B222">
        <v>0.86760002374649003</v>
      </c>
      <c r="C222">
        <f t="shared" si="6"/>
        <v>1.1526048554975568</v>
      </c>
      <c r="D222">
        <f t="shared" si="7"/>
        <v>-4.6905939281702558E-3</v>
      </c>
    </row>
    <row r="223" spans="1:4" x14ac:dyDescent="0.45">
      <c r="A223" s="1">
        <v>45601</v>
      </c>
      <c r="B223">
        <v>0.86417001485824596</v>
      </c>
      <c r="C223">
        <f t="shared" si="6"/>
        <v>1.1571797016864036</v>
      </c>
      <c r="D223">
        <f t="shared" si="7"/>
        <v>3.9612804206281271E-3</v>
      </c>
    </row>
    <row r="224" spans="1:4" x14ac:dyDescent="0.45">
      <c r="A224" s="1">
        <v>45602</v>
      </c>
      <c r="B224">
        <v>0.862410008907318</v>
      </c>
      <c r="C224">
        <f t="shared" si="6"/>
        <v>1.1595412734912596</v>
      </c>
      <c r="D224">
        <f t="shared" si="7"/>
        <v>2.0387199391937449E-3</v>
      </c>
    </row>
    <row r="225" spans="1:4" x14ac:dyDescent="0.45">
      <c r="A225" s="1">
        <v>45603</v>
      </c>
      <c r="B225">
        <v>0.87569999694824197</v>
      </c>
      <c r="C225">
        <f t="shared" si="6"/>
        <v>1.1419435919663532</v>
      </c>
      <c r="D225">
        <f t="shared" si="7"/>
        <v>-1.5292757080025698E-2</v>
      </c>
    </row>
    <row r="226" spans="1:4" x14ac:dyDescent="0.45">
      <c r="A226" s="1">
        <v>45604</v>
      </c>
      <c r="B226">
        <v>0.87278002500534102</v>
      </c>
      <c r="C226">
        <f t="shared" si="6"/>
        <v>1.1457640772586202</v>
      </c>
      <c r="D226">
        <f t="shared" si="7"/>
        <v>3.3400148938109442E-3</v>
      </c>
    </row>
    <row r="227" spans="1:4" x14ac:dyDescent="0.45">
      <c r="A227" s="1">
        <v>45607</v>
      </c>
      <c r="B227">
        <v>0.87599998712539695</v>
      </c>
      <c r="C227">
        <f t="shared" si="6"/>
        <v>1.141552528192963</v>
      </c>
      <c r="D227">
        <f t="shared" si="7"/>
        <v>-3.6825280899235868E-3</v>
      </c>
    </row>
    <row r="228" spans="1:4" x14ac:dyDescent="0.45">
      <c r="A228" s="1">
        <v>45608</v>
      </c>
      <c r="B228">
        <v>0.88027000427246105</v>
      </c>
      <c r="C228">
        <f t="shared" si="6"/>
        <v>1.1360150807666054</v>
      </c>
      <c r="D228">
        <f t="shared" si="7"/>
        <v>-4.8626072092218253E-3</v>
      </c>
    </row>
    <row r="229" spans="1:4" x14ac:dyDescent="0.45">
      <c r="A229" s="1">
        <v>45609</v>
      </c>
      <c r="B229">
        <v>0.88216000795364402</v>
      </c>
      <c r="C229">
        <f t="shared" si="6"/>
        <v>1.1335811995373839</v>
      </c>
      <c r="D229">
        <f t="shared" si="7"/>
        <v>-2.1447710179467727E-3</v>
      </c>
    </row>
    <row r="230" spans="1:4" x14ac:dyDescent="0.45">
      <c r="A230" s="1">
        <v>45610</v>
      </c>
      <c r="B230">
        <v>0.88577002286911</v>
      </c>
      <c r="C230">
        <f t="shared" si="6"/>
        <v>1.1289612136126328</v>
      </c>
      <c r="D230">
        <f t="shared" si="7"/>
        <v>-4.0838945771651813E-3</v>
      </c>
    </row>
    <row r="231" spans="1:4" x14ac:dyDescent="0.45">
      <c r="A231" s="1">
        <v>45611</v>
      </c>
      <c r="B231">
        <v>0.89043998718261697</v>
      </c>
      <c r="C231">
        <f t="shared" si="6"/>
        <v>1.123040310851307</v>
      </c>
      <c r="D231">
        <f t="shared" si="7"/>
        <v>-5.2583591440009542E-3</v>
      </c>
    </row>
    <row r="232" spans="1:4" x14ac:dyDescent="0.45">
      <c r="A232" s="1">
        <v>45614</v>
      </c>
      <c r="B232">
        <v>0.88867002725601196</v>
      </c>
      <c r="C232">
        <f t="shared" si="6"/>
        <v>1.1252770649728638</v>
      </c>
      <c r="D232">
        <f t="shared" si="7"/>
        <v>1.9897145158811191E-3</v>
      </c>
    </row>
    <row r="233" spans="1:4" x14ac:dyDescent="0.45">
      <c r="A233" s="1">
        <v>45615</v>
      </c>
      <c r="B233">
        <v>0.88319998979568504</v>
      </c>
      <c r="C233">
        <f t="shared" si="6"/>
        <v>1.132246389893341</v>
      </c>
      <c r="D233">
        <f t="shared" si="7"/>
        <v>6.1743297027774119E-3</v>
      </c>
    </row>
    <row r="234" spans="1:4" x14ac:dyDescent="0.45">
      <c r="A234" s="1">
        <v>45616</v>
      </c>
      <c r="B234">
        <v>0.88207000494003296</v>
      </c>
      <c r="C234">
        <f t="shared" si="6"/>
        <v>1.1336968657810607</v>
      </c>
      <c r="D234">
        <f t="shared" si="7"/>
        <v>1.2802404316172022E-3</v>
      </c>
    </row>
    <row r="235" spans="1:4" x14ac:dyDescent="0.45">
      <c r="A235" s="1">
        <v>45617</v>
      </c>
      <c r="B235">
        <v>0.88365000486373901</v>
      </c>
      <c r="C235">
        <f t="shared" si="6"/>
        <v>1.131669772529682</v>
      </c>
      <c r="D235">
        <f t="shared" si="7"/>
        <v>-1.7896386025375854E-3</v>
      </c>
    </row>
    <row r="236" spans="1:4" x14ac:dyDescent="0.45">
      <c r="A236" s="1">
        <v>45618</v>
      </c>
      <c r="B236">
        <v>0.88690000772476196</v>
      </c>
      <c r="C236">
        <f t="shared" si="6"/>
        <v>1.1275228225168052</v>
      </c>
      <c r="D236">
        <f t="shared" si="7"/>
        <v>-3.6711829522996231E-3</v>
      </c>
    </row>
    <row r="237" spans="1:4" x14ac:dyDescent="0.45">
      <c r="A237" s="1">
        <v>45621</v>
      </c>
      <c r="B237">
        <v>0.89047002792358398</v>
      </c>
      <c r="C237">
        <f t="shared" si="6"/>
        <v>1.1230024241599914</v>
      </c>
      <c r="D237">
        <f t="shared" si="7"/>
        <v>-4.0171994894336732E-3</v>
      </c>
    </row>
    <row r="238" spans="1:4" x14ac:dyDescent="0.45">
      <c r="A238" s="1">
        <v>45622</v>
      </c>
      <c r="B238">
        <v>0.88880002498626698</v>
      </c>
      <c r="C238">
        <f t="shared" si="6"/>
        <v>1.1251124796215564</v>
      </c>
      <c r="D238">
        <f t="shared" si="7"/>
        <v>1.8771781439044649E-3</v>
      </c>
    </row>
    <row r="239" spans="1:4" x14ac:dyDescent="0.45">
      <c r="A239" s="1">
        <v>45623</v>
      </c>
      <c r="B239">
        <v>0.88626998662948597</v>
      </c>
      <c r="C239">
        <f t="shared" si="6"/>
        <v>1.1283243425663472</v>
      </c>
      <c r="D239">
        <f t="shared" si="7"/>
        <v>2.8506369365826068E-3</v>
      </c>
    </row>
    <row r="240" spans="1:4" x14ac:dyDescent="0.45">
      <c r="A240" s="1">
        <v>45624</v>
      </c>
      <c r="B240">
        <v>0.88200002908706698</v>
      </c>
      <c r="C240">
        <f t="shared" si="6"/>
        <v>1.1337868106819355</v>
      </c>
      <c r="D240">
        <f t="shared" si="7"/>
        <v>4.8295405158740312E-3</v>
      </c>
    </row>
    <row r="241" spans="1:4" x14ac:dyDescent="0.45">
      <c r="A241" s="1">
        <v>45625</v>
      </c>
      <c r="B241">
        <v>0.88234001398086503</v>
      </c>
      <c r="C241">
        <f t="shared" si="6"/>
        <v>1.1333499378411809</v>
      </c>
      <c r="D241">
        <f t="shared" si="7"/>
        <v>-3.8539611379564964E-4</v>
      </c>
    </row>
    <row r="242" spans="1:4" x14ac:dyDescent="0.45">
      <c r="A242" s="1">
        <v>45628</v>
      </c>
      <c r="B242">
        <v>0.88202697038650502</v>
      </c>
      <c r="C242">
        <f t="shared" si="6"/>
        <v>1.1337521794393646</v>
      </c>
      <c r="D242">
        <f t="shared" si="7"/>
        <v>3.548508903401526E-4</v>
      </c>
    </row>
    <row r="243" spans="1:4" x14ac:dyDescent="0.45">
      <c r="A243" s="1">
        <v>45629</v>
      </c>
      <c r="B243">
        <v>0.88628000020980802</v>
      </c>
      <c r="C243">
        <f t="shared" si="6"/>
        <v>1.1283115942628414</v>
      </c>
      <c r="D243">
        <f t="shared" si="7"/>
        <v>-4.8102937950239427E-3</v>
      </c>
    </row>
    <row r="244" spans="1:4" x14ac:dyDescent="0.45">
      <c r="A244" s="1">
        <v>45630</v>
      </c>
      <c r="B244">
        <v>0.88639998435974099</v>
      </c>
      <c r="C244">
        <f t="shared" si="6"/>
        <v>1.1281588646713638</v>
      </c>
      <c r="D244">
        <f t="shared" si="7"/>
        <v>-1.3537034451846508E-4</v>
      </c>
    </row>
    <row r="245" spans="1:4" x14ac:dyDescent="0.45">
      <c r="A245" s="1">
        <v>45631</v>
      </c>
      <c r="B245">
        <v>0.88375002145767201</v>
      </c>
      <c r="C245">
        <f t="shared" si="6"/>
        <v>1.1315416981270148</v>
      </c>
      <c r="D245">
        <f t="shared" si="7"/>
        <v>2.9940568572891096E-3</v>
      </c>
    </row>
    <row r="246" spans="1:4" x14ac:dyDescent="0.45">
      <c r="A246" s="1">
        <v>45632</v>
      </c>
      <c r="B246">
        <v>0.87841999530792203</v>
      </c>
      <c r="C246">
        <f t="shared" si="6"/>
        <v>1.1384076015362778</v>
      </c>
      <c r="D246">
        <f t="shared" si="7"/>
        <v>6.0494076661570806E-3</v>
      </c>
    </row>
    <row r="247" spans="1:4" x14ac:dyDescent="0.45">
      <c r="A247" s="1">
        <v>45635</v>
      </c>
      <c r="B247">
        <v>0.87866997718811002</v>
      </c>
      <c r="C247">
        <f t="shared" si="6"/>
        <v>1.1380837242216539</v>
      </c>
      <c r="D247">
        <f t="shared" si="7"/>
        <v>-2.8454078708275987E-4</v>
      </c>
    </row>
    <row r="248" spans="1:4" x14ac:dyDescent="0.45">
      <c r="A248" s="1">
        <v>45636</v>
      </c>
      <c r="B248">
        <v>0.878589987754822</v>
      </c>
      <c r="C248">
        <f t="shared" si="6"/>
        <v>1.1381873387328636</v>
      </c>
      <c r="D248">
        <f t="shared" si="7"/>
        <v>9.1038816042193771E-5</v>
      </c>
    </row>
    <row r="249" spans="1:4" x14ac:dyDescent="0.45">
      <c r="A249" s="1">
        <v>45637</v>
      </c>
      <c r="B249">
        <v>0.88249999284744296</v>
      </c>
      <c r="C249">
        <f t="shared" si="6"/>
        <v>1.1331444851046806</v>
      </c>
      <c r="D249">
        <f t="shared" si="7"/>
        <v>-4.4404449066542673E-3</v>
      </c>
    </row>
    <row r="250" spans="1:4" x14ac:dyDescent="0.45">
      <c r="A250" s="1">
        <v>45638</v>
      </c>
      <c r="B250">
        <v>0.88321000337600697</v>
      </c>
      <c r="C250">
        <f t="shared" si="6"/>
        <v>1.1322335528102847</v>
      </c>
      <c r="D250">
        <f t="shared" si="7"/>
        <v>-8.0422104235756964E-4</v>
      </c>
    </row>
    <row r="251" spans="1:4" x14ac:dyDescent="0.45">
      <c r="A251" s="1">
        <v>45639</v>
      </c>
      <c r="B251">
        <v>0.89200997352600098</v>
      </c>
      <c r="C251">
        <f t="shared" si="6"/>
        <v>1.1210636984776396</v>
      </c>
      <c r="D251">
        <f t="shared" si="7"/>
        <v>-9.9143118555333615E-3</v>
      </c>
    </row>
    <row r="252" spans="1:4" x14ac:dyDescent="0.45">
      <c r="A252" s="1">
        <v>45642</v>
      </c>
      <c r="B252">
        <v>0.89174401760101296</v>
      </c>
      <c r="C252">
        <f t="shared" si="6"/>
        <v>1.1213980472672185</v>
      </c>
      <c r="D252">
        <f t="shared" si="7"/>
        <v>2.9819798950046772E-4</v>
      </c>
    </row>
    <row r="253" spans="1:4" x14ac:dyDescent="0.45">
      <c r="A253" s="1">
        <v>45643</v>
      </c>
      <c r="B253">
        <v>0.89403998851776101</v>
      </c>
      <c r="C253">
        <f t="shared" si="6"/>
        <v>1.1185182014709558</v>
      </c>
      <c r="D253">
        <f t="shared" si="7"/>
        <v>-2.5713884478395926E-3</v>
      </c>
    </row>
    <row r="254" spans="1:4" x14ac:dyDescent="0.45">
      <c r="A254" s="1">
        <v>45644</v>
      </c>
      <c r="B254">
        <v>0.89248001575470004</v>
      </c>
      <c r="C254">
        <f t="shared" si="6"/>
        <v>1.1204732681374145</v>
      </c>
      <c r="D254">
        <f t="shared" si="7"/>
        <v>1.746381966956756E-3</v>
      </c>
    </row>
    <row r="255" spans="1:4" x14ac:dyDescent="0.45">
      <c r="A255" s="1">
        <v>45645</v>
      </c>
      <c r="B255">
        <v>0.901700019836426</v>
      </c>
      <c r="C255">
        <f t="shared" si="6"/>
        <v>1.109016278142487</v>
      </c>
      <c r="D255">
        <f t="shared" si="7"/>
        <v>-1.0277770412936135E-2</v>
      </c>
    </row>
    <row r="256" spans="1:4" x14ac:dyDescent="0.45">
      <c r="A256" s="1">
        <v>45646</v>
      </c>
      <c r="B256">
        <v>0.89898997545242298</v>
      </c>
      <c r="C256">
        <f t="shared" si="6"/>
        <v>1.1123594559513781</v>
      </c>
      <c r="D256">
        <f t="shared" si="7"/>
        <v>3.0100088712784884E-3</v>
      </c>
    </row>
    <row r="257" spans="1:4" x14ac:dyDescent="0.45">
      <c r="A257" s="1">
        <v>45649</v>
      </c>
      <c r="B257">
        <v>0.89305001497268699</v>
      </c>
      <c r="C257">
        <f t="shared" si="6"/>
        <v>1.1197581134698082</v>
      </c>
      <c r="D257">
        <f t="shared" si="7"/>
        <v>6.6292965172217444E-3</v>
      </c>
    </row>
    <row r="258" spans="1:4" x14ac:dyDescent="0.45">
      <c r="A258" s="1">
        <v>45650</v>
      </c>
      <c r="B258">
        <v>0.89846998453140303</v>
      </c>
      <c r="C258">
        <f t="shared" ref="C258:C321" si="8">1/B258</f>
        <v>1.1130032357414255</v>
      </c>
      <c r="D258">
        <f t="shared" si="7"/>
        <v>-6.0507123516743838E-3</v>
      </c>
    </row>
    <row r="259" spans="1:4" x14ac:dyDescent="0.45">
      <c r="A259" s="1">
        <v>45651</v>
      </c>
      <c r="B259">
        <v>0.90030002593994096</v>
      </c>
      <c r="C259">
        <f t="shared" si="8"/>
        <v>1.1107408321531138</v>
      </c>
      <c r="D259">
        <f t="shared" si="7"/>
        <v>-2.0347704590283344E-3</v>
      </c>
    </row>
    <row r="260" spans="1:4" x14ac:dyDescent="0.45">
      <c r="A260" s="1">
        <v>45652</v>
      </c>
      <c r="B260">
        <v>0.89942002296447798</v>
      </c>
      <c r="C260">
        <f t="shared" si="8"/>
        <v>1.1118275938576634</v>
      </c>
      <c r="D260">
        <f t="shared" ref="D260:D323" si="9">LN(C260)-LN(C259)</f>
        <v>9.779332581547201E-4</v>
      </c>
    </row>
    <row r="261" spans="1:4" x14ac:dyDescent="0.45">
      <c r="A261" s="1">
        <v>45653</v>
      </c>
      <c r="B261">
        <v>0.89889997243881203</v>
      </c>
      <c r="C261">
        <f t="shared" si="8"/>
        <v>1.1124708317510488</v>
      </c>
      <c r="D261">
        <f t="shared" si="9"/>
        <v>5.7837375049211992E-4</v>
      </c>
    </row>
    <row r="262" spans="1:4" x14ac:dyDescent="0.45">
      <c r="A262" s="1">
        <v>45656</v>
      </c>
      <c r="B262">
        <v>0.90183997154235795</v>
      </c>
      <c r="C262">
        <f t="shared" si="8"/>
        <v>1.1088441758572369</v>
      </c>
      <c r="D262">
        <f t="shared" si="9"/>
        <v>-3.2653262628494634E-3</v>
      </c>
    </row>
    <row r="263" spans="1:4" x14ac:dyDescent="0.45">
      <c r="A263" s="1">
        <v>45657</v>
      </c>
      <c r="B263">
        <v>0.90324002504348799</v>
      </c>
      <c r="C263">
        <f t="shared" si="8"/>
        <v>1.1071254287605925</v>
      </c>
      <c r="D263">
        <f t="shared" si="9"/>
        <v>-1.5512373795379397E-3</v>
      </c>
    </row>
    <row r="264" spans="1:4" x14ac:dyDescent="0.45">
      <c r="A264" s="1">
        <v>45659</v>
      </c>
      <c r="B264">
        <v>0.90775001049041704</v>
      </c>
      <c r="C264">
        <f t="shared" si="8"/>
        <v>1.1016248839917329</v>
      </c>
      <c r="D264">
        <f t="shared" si="9"/>
        <v>-4.9806952902259893E-3</v>
      </c>
    </row>
    <row r="265" spans="1:4" x14ac:dyDescent="0.45">
      <c r="A265" s="1">
        <v>45660</v>
      </c>
      <c r="B265">
        <v>0.91201001405715898</v>
      </c>
      <c r="C265">
        <f t="shared" si="8"/>
        <v>1.0964791883714189</v>
      </c>
      <c r="D265">
        <f t="shared" si="9"/>
        <v>-4.6819484889305263E-3</v>
      </c>
    </row>
    <row r="266" spans="1:4" x14ac:dyDescent="0.45">
      <c r="A266" s="1">
        <v>45663</v>
      </c>
      <c r="B266">
        <v>0.909309983253479</v>
      </c>
      <c r="C266">
        <f t="shared" si="8"/>
        <v>1.0997349841272339</v>
      </c>
      <c r="D266">
        <f t="shared" si="9"/>
        <v>2.9649186146379625E-3</v>
      </c>
    </row>
    <row r="267" spans="1:4" x14ac:dyDescent="0.45">
      <c r="A267" s="1">
        <v>45664</v>
      </c>
      <c r="B267">
        <v>0.90504002571106001</v>
      </c>
      <c r="C267">
        <f t="shared" si="8"/>
        <v>1.1049235079015793</v>
      </c>
      <c r="D267">
        <f t="shared" si="9"/>
        <v>4.7068816982758915E-3</v>
      </c>
    </row>
    <row r="268" spans="1:4" x14ac:dyDescent="0.45">
      <c r="A268" s="1">
        <v>45665</v>
      </c>
      <c r="B268">
        <v>0.90944999456405595</v>
      </c>
      <c r="C268">
        <f t="shared" si="8"/>
        <v>1.0995656781320331</v>
      </c>
      <c r="D268">
        <f t="shared" si="9"/>
        <v>-4.8608451817055143E-3</v>
      </c>
    </row>
    <row r="269" spans="1:4" x14ac:dyDescent="0.45">
      <c r="A269" s="1">
        <v>45666</v>
      </c>
      <c r="B269">
        <v>0.91095000505447399</v>
      </c>
      <c r="C269">
        <f t="shared" si="8"/>
        <v>1.0977550847482578</v>
      </c>
      <c r="D269">
        <f t="shared" si="9"/>
        <v>-1.6480013515967201E-3</v>
      </c>
    </row>
    <row r="270" spans="1:4" x14ac:dyDescent="0.45">
      <c r="A270" s="1">
        <v>45667</v>
      </c>
      <c r="B270">
        <v>0.91206997632980302</v>
      </c>
      <c r="C270">
        <f t="shared" si="8"/>
        <v>1.0964071024725865</v>
      </c>
      <c r="D270">
        <f t="shared" si="9"/>
        <v>-1.228699002388825E-3</v>
      </c>
    </row>
    <row r="271" spans="1:4" x14ac:dyDescent="0.45">
      <c r="A271" s="1">
        <v>45670</v>
      </c>
      <c r="B271">
        <v>0.91676998138427701</v>
      </c>
      <c r="C271">
        <f t="shared" si="8"/>
        <v>1.0907861517128319</v>
      </c>
      <c r="D271">
        <f t="shared" si="9"/>
        <v>-5.1398870435628574E-3</v>
      </c>
    </row>
    <row r="272" spans="1:4" x14ac:dyDescent="0.45">
      <c r="A272" s="1">
        <v>45671</v>
      </c>
      <c r="B272">
        <v>0.91578000783920299</v>
      </c>
      <c r="C272">
        <f t="shared" si="8"/>
        <v>1.0919653098340893</v>
      </c>
      <c r="D272">
        <f t="shared" si="9"/>
        <v>1.0804328909969907E-3</v>
      </c>
    </row>
    <row r="273" spans="1:4" x14ac:dyDescent="0.45">
      <c r="A273" s="1">
        <v>45672</v>
      </c>
      <c r="B273">
        <v>0.91246002912521396</v>
      </c>
      <c r="C273">
        <f t="shared" si="8"/>
        <v>1.0959384171147877</v>
      </c>
      <c r="D273">
        <f t="shared" si="9"/>
        <v>3.6318889163824836E-3</v>
      </c>
    </row>
    <row r="274" spans="1:4" x14ac:dyDescent="0.45">
      <c r="A274" s="1">
        <v>45673</v>
      </c>
      <c r="B274">
        <v>0.91211998462677002</v>
      </c>
      <c r="C274">
        <f t="shared" si="8"/>
        <v>1.0963469903679279</v>
      </c>
      <c r="D274">
        <f t="shared" si="9"/>
        <v>3.7273728728573485E-4</v>
      </c>
    </row>
    <row r="275" spans="1:4" x14ac:dyDescent="0.45">
      <c r="A275" s="1">
        <v>45674</v>
      </c>
      <c r="B275">
        <v>0.91117000579833995</v>
      </c>
      <c r="C275">
        <f t="shared" si="8"/>
        <v>1.0974900332938746</v>
      </c>
      <c r="D275">
        <f t="shared" si="9"/>
        <v>1.0420491741646998E-3</v>
      </c>
    </row>
    <row r="276" spans="1:4" x14ac:dyDescent="0.45">
      <c r="A276" s="1">
        <v>45677</v>
      </c>
      <c r="B276">
        <v>0.91460001468658403</v>
      </c>
      <c r="C276">
        <f t="shared" si="8"/>
        <v>1.0933741350777049</v>
      </c>
      <c r="D276">
        <f t="shared" si="9"/>
        <v>-3.7573329444956644E-3</v>
      </c>
    </row>
    <row r="277" spans="1:4" x14ac:dyDescent="0.45">
      <c r="A277" s="1">
        <v>45678</v>
      </c>
      <c r="B277">
        <v>0.90605998039245605</v>
      </c>
      <c r="C277">
        <f t="shared" si="8"/>
        <v>1.1036796918972784</v>
      </c>
      <c r="D277">
        <f t="shared" si="9"/>
        <v>9.3813199065811564E-3</v>
      </c>
    </row>
    <row r="278" spans="1:4" x14ac:dyDescent="0.45">
      <c r="A278" s="1">
        <v>45679</v>
      </c>
      <c r="B278">
        <v>0.90671002864837602</v>
      </c>
      <c r="C278">
        <f t="shared" si="8"/>
        <v>1.1028884300427233</v>
      </c>
      <c r="D278">
        <f t="shared" si="9"/>
        <v>-7.1718781813585875E-4</v>
      </c>
    </row>
    <row r="279" spans="1:4" x14ac:dyDescent="0.45">
      <c r="A279" s="1">
        <v>45680</v>
      </c>
      <c r="B279">
        <v>0.90631002187728904</v>
      </c>
      <c r="C279">
        <f t="shared" si="8"/>
        <v>1.1033751981784841</v>
      </c>
      <c r="D279">
        <f t="shared" si="9"/>
        <v>4.4126018072596085E-4</v>
      </c>
    </row>
    <row r="280" spans="1:4" x14ac:dyDescent="0.45">
      <c r="A280" s="1">
        <v>45681</v>
      </c>
      <c r="B280">
        <v>0.907490015029907</v>
      </c>
      <c r="C280">
        <f t="shared" si="8"/>
        <v>1.1019404990004702</v>
      </c>
      <c r="D280">
        <f t="shared" si="9"/>
        <v>-1.301128343895161E-3</v>
      </c>
    </row>
    <row r="281" spans="1:4" x14ac:dyDescent="0.45">
      <c r="A281" s="1">
        <v>45684</v>
      </c>
      <c r="B281">
        <v>0.90684002637863204</v>
      </c>
      <c r="C281">
        <f t="shared" si="8"/>
        <v>1.1027303282954903</v>
      </c>
      <c r="D281">
        <f t="shared" si="9"/>
        <v>7.1650544746318379E-4</v>
      </c>
    </row>
    <row r="282" spans="1:4" x14ac:dyDescent="0.45">
      <c r="A282" s="1">
        <v>45685</v>
      </c>
      <c r="B282">
        <v>0.90400999784469604</v>
      </c>
      <c r="C282">
        <f t="shared" si="8"/>
        <v>1.1061824563712341</v>
      </c>
      <c r="D282">
        <f t="shared" si="9"/>
        <v>3.1256380154098956E-3</v>
      </c>
    </row>
    <row r="283" spans="1:4" x14ac:dyDescent="0.45">
      <c r="A283" s="1">
        <v>45686</v>
      </c>
      <c r="B283">
        <v>0.90412998199462902</v>
      </c>
      <c r="C283">
        <f t="shared" si="8"/>
        <v>1.1060356584944449</v>
      </c>
      <c r="D283">
        <f t="shared" si="9"/>
        <v>-1.3271555459952455E-4</v>
      </c>
    </row>
    <row r="284" spans="1:4" x14ac:dyDescent="0.45">
      <c r="A284" s="1">
        <v>45687</v>
      </c>
      <c r="B284">
        <v>0.90627002716064498</v>
      </c>
      <c r="C284">
        <f t="shared" si="8"/>
        <v>1.1034238913682406</v>
      </c>
      <c r="D284">
        <f t="shared" si="9"/>
        <v>-2.3641694122543688E-3</v>
      </c>
    </row>
    <row r="285" spans="1:4" x14ac:dyDescent="0.45">
      <c r="A285" s="1">
        <v>45688</v>
      </c>
      <c r="B285">
        <v>0.90936899185180697</v>
      </c>
      <c r="C285">
        <f t="shared" si="8"/>
        <v>1.0996636227540981</v>
      </c>
      <c r="D285">
        <f t="shared" si="9"/>
        <v>-3.4136385790843049E-3</v>
      </c>
    </row>
    <row r="286" spans="1:4" x14ac:dyDescent="0.45">
      <c r="A286" s="1">
        <v>45691</v>
      </c>
      <c r="B286">
        <v>0.91522997617721602</v>
      </c>
      <c r="C286">
        <f t="shared" si="8"/>
        <v>1.0926215552694811</v>
      </c>
      <c r="D286">
        <f t="shared" si="9"/>
        <v>-6.42443033960792E-3</v>
      </c>
    </row>
    <row r="287" spans="1:4" x14ac:dyDescent="0.45">
      <c r="A287" s="1">
        <v>45692</v>
      </c>
      <c r="B287">
        <v>0.911610007286072</v>
      </c>
      <c r="C287">
        <f t="shared" si="8"/>
        <v>1.0969603141776287</v>
      </c>
      <c r="D287">
        <f t="shared" si="9"/>
        <v>3.9630987518259331E-3</v>
      </c>
    </row>
    <row r="288" spans="1:4" x14ac:dyDescent="0.45">
      <c r="A288" s="1">
        <v>45693</v>
      </c>
      <c r="B288">
        <v>0.90523999929428101</v>
      </c>
      <c r="C288">
        <f t="shared" si="8"/>
        <v>1.1046794228929271</v>
      </c>
      <c r="D288">
        <f t="shared" si="9"/>
        <v>7.0121738945047585E-3</v>
      </c>
    </row>
    <row r="289" spans="1:4" x14ac:dyDescent="0.45">
      <c r="A289" s="1">
        <v>45694</v>
      </c>
      <c r="B289">
        <v>0.90132999420166005</v>
      </c>
      <c r="C289">
        <f t="shared" si="8"/>
        <v>1.1094715658339269</v>
      </c>
      <c r="D289">
        <f t="shared" si="9"/>
        <v>4.3286573029911596E-3</v>
      </c>
    </row>
    <row r="290" spans="1:4" x14ac:dyDescent="0.45">
      <c r="A290" s="1">
        <v>45695</v>
      </c>
      <c r="B290">
        <v>0.90509998798370395</v>
      </c>
      <c r="C290">
        <f t="shared" si="8"/>
        <v>1.1048503074535503</v>
      </c>
      <c r="D290">
        <f t="shared" si="9"/>
        <v>-4.1739777269556577E-3</v>
      </c>
    </row>
    <row r="291" spans="1:4" x14ac:dyDescent="0.45">
      <c r="A291" s="1">
        <v>45698</v>
      </c>
      <c r="B291">
        <v>0.91074001789092995</v>
      </c>
      <c r="C291">
        <f t="shared" si="8"/>
        <v>1.098008191531735</v>
      </c>
      <c r="D291">
        <f t="shared" si="9"/>
        <v>-6.2120539542938474E-3</v>
      </c>
    </row>
    <row r="292" spans="1:4" x14ac:dyDescent="0.45">
      <c r="A292" s="1">
        <v>45699</v>
      </c>
      <c r="B292">
        <v>0.91132998466491699</v>
      </c>
      <c r="C292">
        <f t="shared" si="8"/>
        <v>1.0972973750750512</v>
      </c>
      <c r="D292">
        <f t="shared" si="9"/>
        <v>-6.4757862626207974E-4</v>
      </c>
    </row>
    <row r="293" spans="1:4" x14ac:dyDescent="0.45">
      <c r="A293" s="1">
        <v>45700</v>
      </c>
      <c r="B293">
        <v>0.91298997402191195</v>
      </c>
      <c r="C293">
        <f t="shared" si="8"/>
        <v>1.0953022798210923</v>
      </c>
      <c r="D293">
        <f t="shared" si="9"/>
        <v>-1.8198450411344297E-3</v>
      </c>
    </row>
    <row r="294" spans="1:4" x14ac:dyDescent="0.45">
      <c r="A294" s="1">
        <v>45701</v>
      </c>
      <c r="B294">
        <v>0.91339999437332198</v>
      </c>
      <c r="C294">
        <f t="shared" si="8"/>
        <v>1.0948106045107804</v>
      </c>
      <c r="D294">
        <f t="shared" si="9"/>
        <v>-4.4899541214463157E-4</v>
      </c>
    </row>
    <row r="295" spans="1:4" x14ac:dyDescent="0.45">
      <c r="A295" s="1">
        <v>45702</v>
      </c>
      <c r="B295">
        <v>0.90324997901916504</v>
      </c>
      <c r="C295">
        <f t="shared" si="8"/>
        <v>1.1071132280411402</v>
      </c>
      <c r="D295">
        <f t="shared" si="9"/>
        <v>1.1174547791161824E-2</v>
      </c>
    </row>
    <row r="296" spans="1:4" x14ac:dyDescent="0.45">
      <c r="A296" s="1">
        <v>45705</v>
      </c>
      <c r="B296">
        <v>0.89982998371124301</v>
      </c>
      <c r="C296">
        <f t="shared" si="8"/>
        <v>1.1113210474223336</v>
      </c>
      <c r="D296">
        <f t="shared" si="9"/>
        <v>3.7935083079593673E-3</v>
      </c>
    </row>
    <row r="297" spans="1:4" x14ac:dyDescent="0.45">
      <c r="A297" s="1">
        <v>45706</v>
      </c>
      <c r="B297">
        <v>0.90072000026702903</v>
      </c>
      <c r="C297">
        <f t="shared" si="8"/>
        <v>1.1102229324357606</v>
      </c>
      <c r="D297">
        <f t="shared" si="9"/>
        <v>-9.8860529970613842E-4</v>
      </c>
    </row>
    <row r="298" spans="1:4" x14ac:dyDescent="0.45">
      <c r="A298" s="1">
        <v>45707</v>
      </c>
      <c r="B298">
        <v>0.90359997749328602</v>
      </c>
      <c r="C298">
        <f t="shared" si="8"/>
        <v>1.10668440118175</v>
      </c>
      <c r="D298">
        <f t="shared" si="9"/>
        <v>-3.1923158946824126E-3</v>
      </c>
    </row>
    <row r="299" spans="1:4" x14ac:dyDescent="0.45">
      <c r="A299" s="1">
        <v>45708</v>
      </c>
      <c r="B299">
        <v>0.90456002950668302</v>
      </c>
      <c r="C299">
        <f t="shared" si="8"/>
        <v>1.1055098250863094</v>
      </c>
      <c r="D299">
        <f t="shared" si="9"/>
        <v>-1.0619105608990625E-3</v>
      </c>
    </row>
    <row r="300" spans="1:4" x14ac:dyDescent="0.45">
      <c r="A300" s="1">
        <v>45709</v>
      </c>
      <c r="B300">
        <v>0.89806002378463701</v>
      </c>
      <c r="C300">
        <f t="shared" si="8"/>
        <v>1.1135113171898732</v>
      </c>
      <c r="D300">
        <f t="shared" si="9"/>
        <v>7.2117625475219965E-3</v>
      </c>
    </row>
    <row r="301" spans="1:4" x14ac:dyDescent="0.45">
      <c r="A301" s="1">
        <v>45712</v>
      </c>
      <c r="B301">
        <v>0.89845001697540305</v>
      </c>
      <c r="C301">
        <f t="shared" si="8"/>
        <v>1.1130279716243547</v>
      </c>
      <c r="D301">
        <f t="shared" si="9"/>
        <v>-4.3416756716514737E-4</v>
      </c>
    </row>
    <row r="302" spans="1:4" x14ac:dyDescent="0.45">
      <c r="A302" s="1">
        <v>45713</v>
      </c>
      <c r="B302">
        <v>0.897300004959106</v>
      </c>
      <c r="C302">
        <f t="shared" si="8"/>
        <v>1.114454468375462</v>
      </c>
      <c r="D302">
        <f t="shared" si="9"/>
        <v>1.2808154358514151E-3</v>
      </c>
    </row>
    <row r="303" spans="1:4" x14ac:dyDescent="0.45">
      <c r="A303" s="1">
        <v>45714</v>
      </c>
      <c r="B303">
        <v>0.89240002632141102</v>
      </c>
      <c r="C303">
        <f t="shared" si="8"/>
        <v>1.1205737007002678</v>
      </c>
      <c r="D303">
        <f t="shared" si="9"/>
        <v>5.4757677772511171E-3</v>
      </c>
    </row>
    <row r="304" spans="1:4" x14ac:dyDescent="0.45">
      <c r="A304" s="1">
        <v>45715</v>
      </c>
      <c r="B304">
        <v>0.89429998397827104</v>
      </c>
      <c r="C304">
        <f t="shared" si="8"/>
        <v>1.1181930201446779</v>
      </c>
      <c r="D304">
        <f t="shared" si="9"/>
        <v>-2.1267793832912968E-3</v>
      </c>
    </row>
    <row r="305" spans="1:4" x14ac:dyDescent="0.45">
      <c r="A305" s="1">
        <v>45716</v>
      </c>
      <c r="B305">
        <v>0.89991998672485396</v>
      </c>
      <c r="C305">
        <f t="shared" si="8"/>
        <v>1.1112099017151233</v>
      </c>
      <c r="D305">
        <f t="shared" si="9"/>
        <v>-6.2645842963466036E-3</v>
      </c>
    </row>
    <row r="306" spans="1:4" x14ac:dyDescent="0.45">
      <c r="A306" s="1">
        <v>45719</v>
      </c>
      <c r="B306">
        <v>0.90257000923156705</v>
      </c>
      <c r="C306">
        <f t="shared" si="8"/>
        <v>1.1079472946939408</v>
      </c>
      <c r="D306">
        <f t="shared" si="9"/>
        <v>-2.9404040210971732E-3</v>
      </c>
    </row>
    <row r="307" spans="1:4" x14ac:dyDescent="0.45">
      <c r="A307" s="1">
        <v>45720</v>
      </c>
      <c r="B307">
        <v>0.89660000801086404</v>
      </c>
      <c r="C307">
        <f t="shared" si="8"/>
        <v>1.1153245494816939</v>
      </c>
      <c r="D307">
        <f t="shared" si="9"/>
        <v>6.6364190981415133E-3</v>
      </c>
    </row>
    <row r="308" spans="1:4" x14ac:dyDescent="0.45">
      <c r="A308" s="1">
        <v>45721</v>
      </c>
      <c r="B308">
        <v>0.88963997364044201</v>
      </c>
      <c r="C308">
        <f t="shared" si="8"/>
        <v>1.1240502109049353</v>
      </c>
      <c r="D308">
        <f t="shared" si="9"/>
        <v>7.7929837712753386E-3</v>
      </c>
    </row>
    <row r="309" spans="1:4" x14ac:dyDescent="0.45">
      <c r="A309" s="1">
        <v>45722</v>
      </c>
      <c r="B309">
        <v>0.89069002866744995</v>
      </c>
      <c r="C309">
        <f t="shared" si="8"/>
        <v>1.1227250421744221</v>
      </c>
      <c r="D309">
        <f t="shared" si="9"/>
        <v>-1.179618550953207E-3</v>
      </c>
    </row>
    <row r="310" spans="1:4" x14ac:dyDescent="0.45">
      <c r="A310" s="1">
        <v>45723</v>
      </c>
      <c r="B310">
        <v>0.88331997394561801</v>
      </c>
      <c r="C310">
        <f t="shared" si="8"/>
        <v>1.1320925932798678</v>
      </c>
      <c r="D310">
        <f t="shared" si="9"/>
        <v>8.3089690730877713E-3</v>
      </c>
    </row>
    <row r="311" spans="1:4" x14ac:dyDescent="0.45">
      <c r="A311" s="1">
        <v>45726</v>
      </c>
      <c r="B311">
        <v>0.87734001874923695</v>
      </c>
      <c r="C311">
        <f t="shared" si="8"/>
        <v>1.1398089436586181</v>
      </c>
      <c r="D311">
        <f t="shared" si="9"/>
        <v>6.7928824596722032E-3</v>
      </c>
    </row>
    <row r="312" spans="1:4" x14ac:dyDescent="0.45">
      <c r="A312" s="1">
        <v>45727</v>
      </c>
      <c r="B312">
        <v>0.879980027675629</v>
      </c>
      <c r="C312">
        <f t="shared" si="8"/>
        <v>1.1363894276571147</v>
      </c>
      <c r="D312">
        <f t="shared" si="9"/>
        <v>-3.0045874885789026E-3</v>
      </c>
    </row>
    <row r="313" spans="1:4" x14ac:dyDescent="0.45">
      <c r="A313" s="1">
        <v>45728</v>
      </c>
      <c r="B313">
        <v>0.88344001770019498</v>
      </c>
      <c r="C313">
        <f t="shared" si="8"/>
        <v>1.1319387620715196</v>
      </c>
      <c r="D313">
        <f t="shared" si="9"/>
        <v>-3.9241863828631401E-3</v>
      </c>
    </row>
    <row r="314" spans="1:4" x14ac:dyDescent="0.45">
      <c r="A314" s="1">
        <v>45729</v>
      </c>
      <c r="B314">
        <v>0.88177001476287797</v>
      </c>
      <c r="C314">
        <f t="shared" si="8"/>
        <v>1.1340825649065827</v>
      </c>
      <c r="D314">
        <f t="shared" si="9"/>
        <v>1.892130007017781E-3</v>
      </c>
    </row>
    <row r="315" spans="1:4" x14ac:dyDescent="0.45">
      <c r="A315" s="1">
        <v>45730</v>
      </c>
      <c r="B315">
        <v>0.88261997699737504</v>
      </c>
      <c r="C315">
        <f t="shared" si="8"/>
        <v>1.1329904444288077</v>
      </c>
      <c r="D315">
        <f t="shared" si="9"/>
        <v>-9.6346307133371445E-4</v>
      </c>
    </row>
    <row r="316" spans="1:4" x14ac:dyDescent="0.45">
      <c r="A316" s="1">
        <v>45733</v>
      </c>
      <c r="B316">
        <v>0.88409000635147095</v>
      </c>
      <c r="C316">
        <f t="shared" si="8"/>
        <v>1.1311065534230786</v>
      </c>
      <c r="D316">
        <f t="shared" si="9"/>
        <v>-1.6641437555750122E-3</v>
      </c>
    </row>
    <row r="317" spans="1:4" x14ac:dyDescent="0.45">
      <c r="A317" s="1">
        <v>45734</v>
      </c>
      <c r="B317">
        <v>0.88120198249816895</v>
      </c>
      <c r="C317">
        <f t="shared" si="8"/>
        <v>1.1348136067114192</v>
      </c>
      <c r="D317">
        <f t="shared" si="9"/>
        <v>3.2720098976870976E-3</v>
      </c>
    </row>
    <row r="318" spans="1:4" x14ac:dyDescent="0.45">
      <c r="A318" s="1">
        <v>45735</v>
      </c>
      <c r="B318">
        <v>0.876744985580444</v>
      </c>
      <c r="C318">
        <f t="shared" si="8"/>
        <v>1.1405825142392525</v>
      </c>
      <c r="D318">
        <f t="shared" si="9"/>
        <v>5.0706950192378752E-3</v>
      </c>
    </row>
    <row r="319" spans="1:4" x14ac:dyDescent="0.45">
      <c r="A319" s="1">
        <v>45736</v>
      </c>
      <c r="B319">
        <v>0.87639999389648404</v>
      </c>
      <c r="C319">
        <f t="shared" si="8"/>
        <v>1.1410315004156824</v>
      </c>
      <c r="D319">
        <f t="shared" si="9"/>
        <v>3.935689203708459E-4</v>
      </c>
    </row>
    <row r="320" spans="1:4" x14ac:dyDescent="0.45">
      <c r="A320" s="1">
        <v>45737</v>
      </c>
      <c r="B320">
        <v>0.88137698173522905</v>
      </c>
      <c r="C320">
        <f t="shared" si="8"/>
        <v>1.1345882871041508</v>
      </c>
      <c r="D320">
        <f t="shared" si="9"/>
        <v>-5.662835738304034E-3</v>
      </c>
    </row>
    <row r="321" spans="1:4" x14ac:dyDescent="0.45">
      <c r="A321" s="1">
        <v>45740</v>
      </c>
      <c r="B321">
        <v>0.88292002677917503</v>
      </c>
      <c r="C321">
        <f t="shared" si="8"/>
        <v>1.132605411214789</v>
      </c>
      <c r="D321">
        <f t="shared" si="9"/>
        <v>-1.7491901079384892E-3</v>
      </c>
    </row>
    <row r="322" spans="1:4" x14ac:dyDescent="0.45">
      <c r="A322" s="1">
        <v>45741</v>
      </c>
      <c r="B322">
        <v>0.88269001245498702</v>
      </c>
      <c r="C322">
        <f t="shared" ref="C322:C385" si="10">1/B322</f>
        <v>1.1329005493318587</v>
      </c>
      <c r="D322">
        <f t="shared" si="9"/>
        <v>2.6054940828153239E-4</v>
      </c>
    </row>
    <row r="323" spans="1:4" x14ac:dyDescent="0.45">
      <c r="A323" s="1">
        <v>45742</v>
      </c>
      <c r="B323">
        <v>0.88265001773834195</v>
      </c>
      <c r="C323">
        <f t="shared" si="10"/>
        <v>1.1329518834230012</v>
      </c>
      <c r="D323">
        <f t="shared" si="9"/>
        <v>4.5311062988273587E-5</v>
      </c>
    </row>
    <row r="324" spans="1:4" x14ac:dyDescent="0.45">
      <c r="A324" s="1">
        <v>45743</v>
      </c>
      <c r="B324">
        <v>0.88415998220443703</v>
      </c>
      <c r="C324">
        <f t="shared" si="10"/>
        <v>1.1310170332599132</v>
      </c>
      <c r="D324">
        <f t="shared" ref="D324:D387" si="11">LN(C324)-LN(C323)</f>
        <v>-1.7092554759868678E-3</v>
      </c>
    </row>
    <row r="325" spans="1:4" x14ac:dyDescent="0.45">
      <c r="A325" s="1">
        <v>45744</v>
      </c>
      <c r="B325">
        <v>0.88139998912811302</v>
      </c>
      <c r="C325">
        <f t="shared" si="10"/>
        <v>1.1345586706770974</v>
      </c>
      <c r="D325">
        <f t="shared" si="11"/>
        <v>3.1264815348739788E-3</v>
      </c>
    </row>
    <row r="326" spans="1:4" x14ac:dyDescent="0.45">
      <c r="A326" s="1">
        <v>45746</v>
      </c>
      <c r="B326">
        <v>0.88085001707077004</v>
      </c>
      <c r="C326">
        <f t="shared" si="10"/>
        <v>1.1352670495772461</v>
      </c>
      <c r="D326">
        <f t="shared" si="11"/>
        <v>6.2417032006087392E-4</v>
      </c>
    </row>
    <row r="327" spans="1:4" x14ac:dyDescent="0.45">
      <c r="A327" s="1">
        <v>45747</v>
      </c>
      <c r="B327">
        <v>0.88381999731063798</v>
      </c>
      <c r="C327">
        <f t="shared" si="10"/>
        <v>1.1314521090752465</v>
      </c>
      <c r="D327">
        <f t="shared" si="11"/>
        <v>-3.3660491988763003E-3</v>
      </c>
    </row>
    <row r="328" spans="1:4" x14ac:dyDescent="0.45">
      <c r="A328" s="1">
        <v>45748</v>
      </c>
      <c r="B328">
        <v>0.88340002298355103</v>
      </c>
      <c r="C328">
        <f t="shared" si="10"/>
        <v>1.1319900090365065</v>
      </c>
      <c r="D328">
        <f t="shared" si="11"/>
        <v>4.7529377233190839E-4</v>
      </c>
    </row>
    <row r="329" spans="1:4" x14ac:dyDescent="0.45">
      <c r="A329" s="1">
        <v>45749</v>
      </c>
      <c r="B329">
        <v>0.87678998708724998</v>
      </c>
      <c r="C329">
        <f t="shared" si="10"/>
        <v>1.1405239735025501</v>
      </c>
      <c r="D329">
        <f t="shared" si="11"/>
        <v>7.5106288876540944E-3</v>
      </c>
    </row>
    <row r="330" spans="1:4" x14ac:dyDescent="0.45">
      <c r="A330" s="1">
        <v>45750</v>
      </c>
      <c r="B330">
        <v>0.85921001434326205</v>
      </c>
      <c r="C330">
        <f t="shared" si="10"/>
        <v>1.1638598052937628</v>
      </c>
      <c r="D330">
        <f t="shared" si="11"/>
        <v>2.0254117177799791E-2</v>
      </c>
    </row>
    <row r="331" spans="1:4" x14ac:dyDescent="0.45">
      <c r="A331" s="1">
        <v>45753</v>
      </c>
      <c r="B331">
        <v>0.85161000490188599</v>
      </c>
      <c r="C331">
        <f t="shared" si="10"/>
        <v>1.1742464205962564</v>
      </c>
      <c r="D331">
        <f t="shared" si="11"/>
        <v>8.8846978055593662E-3</v>
      </c>
    </row>
    <row r="332" spans="1:4" x14ac:dyDescent="0.45">
      <c r="A332" s="1">
        <v>45754</v>
      </c>
      <c r="B332">
        <v>0.85970997810363803</v>
      </c>
      <c r="C332">
        <f t="shared" si="10"/>
        <v>1.1631829634056545</v>
      </c>
      <c r="D332">
        <f t="shared" si="11"/>
        <v>-9.4664162993481626E-3</v>
      </c>
    </row>
    <row r="333" spans="1:4" x14ac:dyDescent="0.45">
      <c r="A333" s="1">
        <v>45755</v>
      </c>
      <c r="B333">
        <v>0.84565997123718295</v>
      </c>
      <c r="C333">
        <f t="shared" si="10"/>
        <v>1.1825083769035689</v>
      </c>
      <c r="D333">
        <f t="shared" si="11"/>
        <v>1.6477744046848319E-2</v>
      </c>
    </row>
    <row r="334" spans="1:4" x14ac:dyDescent="0.45">
      <c r="A334" s="1">
        <v>45756</v>
      </c>
      <c r="B334">
        <v>0.85544997453689597</v>
      </c>
      <c r="C334">
        <f t="shared" si="10"/>
        <v>1.168975427863397</v>
      </c>
      <c r="D334">
        <f t="shared" si="11"/>
        <v>-1.1510262943851823E-2</v>
      </c>
    </row>
    <row r="335" spans="1:4" x14ac:dyDescent="0.45">
      <c r="A335" s="1">
        <v>45757</v>
      </c>
      <c r="B335">
        <v>0.82076001167297397</v>
      </c>
      <c r="C335">
        <f t="shared" si="10"/>
        <v>1.2183829448046293</v>
      </c>
      <c r="D335">
        <f t="shared" si="11"/>
        <v>4.1396861997215595E-2</v>
      </c>
    </row>
    <row r="336" spans="1:4" x14ac:dyDescent="0.45">
      <c r="A336" s="1">
        <v>45760</v>
      </c>
      <c r="B336">
        <v>0.81805998086929299</v>
      </c>
      <c r="C336">
        <f t="shared" si="10"/>
        <v>1.2224042532154824</v>
      </c>
      <c r="D336">
        <f t="shared" si="11"/>
        <v>3.2950943471106164E-3</v>
      </c>
    </row>
    <row r="337" spans="1:4" x14ac:dyDescent="0.45">
      <c r="A337" s="1">
        <v>45761</v>
      </c>
      <c r="B337">
        <v>0.81595999002456698</v>
      </c>
      <c r="C337">
        <f t="shared" si="10"/>
        <v>1.2255502870549964</v>
      </c>
      <c r="D337">
        <f t="shared" si="11"/>
        <v>2.5703382312199097E-3</v>
      </c>
    </row>
    <row r="338" spans="1:4" x14ac:dyDescent="0.45">
      <c r="A338" s="1">
        <v>45762</v>
      </c>
      <c r="B338">
        <v>0.82077002525329601</v>
      </c>
      <c r="C338">
        <f t="shared" si="10"/>
        <v>1.2183680802565764</v>
      </c>
      <c r="D338">
        <f t="shared" si="11"/>
        <v>-5.877632879387279E-3</v>
      </c>
    </row>
    <row r="339" spans="1:4" x14ac:dyDescent="0.45">
      <c r="A339" s="1">
        <v>45763</v>
      </c>
      <c r="B339">
        <v>0.81375002861022905</v>
      </c>
      <c r="C339">
        <f t="shared" si="10"/>
        <v>1.228878605027959</v>
      </c>
      <c r="D339">
        <f t="shared" si="11"/>
        <v>8.5897261274781866E-3</v>
      </c>
    </row>
    <row r="340" spans="1:4" x14ac:dyDescent="0.45">
      <c r="A340" s="1">
        <v>45768</v>
      </c>
      <c r="B340">
        <v>0.80905002355575595</v>
      </c>
      <c r="C340">
        <f t="shared" si="10"/>
        <v>1.2360175154621755</v>
      </c>
      <c r="D340">
        <f t="shared" si="11"/>
        <v>5.7924797201336087E-3</v>
      </c>
    </row>
    <row r="341" spans="1:4" x14ac:dyDescent="0.45">
      <c r="A341" s="1">
        <v>45769</v>
      </c>
      <c r="B341">
        <v>0.82607001066207897</v>
      </c>
      <c r="C341">
        <f t="shared" si="10"/>
        <v>1.2105511483203699</v>
      </c>
      <c r="D341">
        <f t="shared" si="11"/>
        <v>-2.0818779638818369E-2</v>
      </c>
    </row>
    <row r="342" spans="1:4" x14ac:dyDescent="0.45">
      <c r="A342" s="1">
        <v>45770</v>
      </c>
      <c r="B342">
        <v>0.82980000972747803</v>
      </c>
      <c r="C342">
        <f t="shared" si="10"/>
        <v>1.2051096508524011</v>
      </c>
      <c r="D342">
        <f t="shared" si="11"/>
        <v>-4.5051910214824464E-3</v>
      </c>
    </row>
    <row r="343" spans="1:4" x14ac:dyDescent="0.45">
      <c r="A343" s="1">
        <v>45771</v>
      </c>
      <c r="B343">
        <v>0.82874000072479204</v>
      </c>
      <c r="C343">
        <f t="shared" si="10"/>
        <v>1.2066510595909803</v>
      </c>
      <c r="D343">
        <f t="shared" si="11"/>
        <v>1.278243684608632E-3</v>
      </c>
    </row>
    <row r="344" spans="1:4" x14ac:dyDescent="0.45">
      <c r="A344" s="1">
        <v>45774</v>
      </c>
      <c r="B344">
        <v>0.82840001583099399</v>
      </c>
      <c r="C344">
        <f t="shared" si="10"/>
        <v>1.2071462830633444</v>
      </c>
      <c r="D344">
        <f t="shared" si="11"/>
        <v>4.1032730508175352E-4</v>
      </c>
    </row>
    <row r="345" spans="1:4" x14ac:dyDescent="0.45">
      <c r="A345" s="1">
        <v>45775</v>
      </c>
      <c r="B345">
        <v>0.82118999958038297</v>
      </c>
      <c r="C345">
        <f t="shared" si="10"/>
        <v>1.2177449804685718</v>
      </c>
      <c r="D345">
        <f t="shared" si="11"/>
        <v>8.7416413736167153E-3</v>
      </c>
    </row>
    <row r="346" spans="1:4" x14ac:dyDescent="0.45">
      <c r="A346" s="1">
        <v>45776</v>
      </c>
      <c r="B346">
        <v>0.82341998815536499</v>
      </c>
      <c r="C346">
        <f t="shared" si="10"/>
        <v>1.2144470797219917</v>
      </c>
      <c r="D346">
        <f t="shared" si="11"/>
        <v>-2.711876929210072E-3</v>
      </c>
    </row>
    <row r="347" spans="1:4" x14ac:dyDescent="0.45">
      <c r="A347" s="1">
        <v>45777</v>
      </c>
      <c r="B347">
        <v>0.82595998048782304</v>
      </c>
      <c r="C347">
        <f t="shared" si="10"/>
        <v>1.2107124117676822</v>
      </c>
      <c r="D347">
        <f t="shared" si="11"/>
        <v>-3.0799383872904817E-3</v>
      </c>
    </row>
    <row r="348" spans="1:4" x14ac:dyDescent="0.45">
      <c r="A348" s="1">
        <v>45778</v>
      </c>
      <c r="B348">
        <v>0.82898002862930298</v>
      </c>
      <c r="C348">
        <f t="shared" si="10"/>
        <v>1.206301678525928</v>
      </c>
      <c r="D348">
        <f t="shared" si="11"/>
        <v>-3.6497413528575329E-3</v>
      </c>
    </row>
    <row r="349" spans="1:4" x14ac:dyDescent="0.45">
      <c r="A349" s="1">
        <v>45781</v>
      </c>
      <c r="B349">
        <v>0.82410001754760698</v>
      </c>
      <c r="C349">
        <f t="shared" si="10"/>
        <v>1.2134449444326478</v>
      </c>
      <c r="D349">
        <f t="shared" si="11"/>
        <v>5.9041608651031474E-3</v>
      </c>
    </row>
    <row r="350" spans="1:4" x14ac:dyDescent="0.45">
      <c r="A350" s="1">
        <v>45782</v>
      </c>
      <c r="B350">
        <v>0.82179099321365401</v>
      </c>
      <c r="C350">
        <f t="shared" si="10"/>
        <v>1.216854417069541</v>
      </c>
      <c r="D350">
        <f t="shared" si="11"/>
        <v>2.8058065007726674E-3</v>
      </c>
    </row>
    <row r="351" spans="1:4" x14ac:dyDescent="0.45">
      <c r="A351" s="1">
        <v>45783</v>
      </c>
      <c r="B351">
        <v>0.82563000917434703</v>
      </c>
      <c r="C351">
        <f t="shared" si="10"/>
        <v>1.211196285125377</v>
      </c>
      <c r="D351">
        <f t="shared" si="11"/>
        <v>-4.6606458267348938E-3</v>
      </c>
    </row>
    <row r="352" spans="1:4" x14ac:dyDescent="0.45">
      <c r="A352" s="1">
        <v>45784</v>
      </c>
      <c r="B352">
        <v>0.82394999265670799</v>
      </c>
      <c r="C352">
        <f t="shared" si="10"/>
        <v>1.2136658886004041</v>
      </c>
      <c r="D352">
        <f t="shared" si="11"/>
        <v>2.0369028439191084E-3</v>
      </c>
    </row>
    <row r="353" spans="1:4" x14ac:dyDescent="0.45">
      <c r="A353" s="1">
        <v>45785</v>
      </c>
      <c r="B353">
        <v>0.83179998397827104</v>
      </c>
      <c r="C353">
        <f t="shared" si="10"/>
        <v>1.2022120933656124</v>
      </c>
      <c r="D353">
        <f t="shared" si="11"/>
        <v>-9.4821685028589342E-3</v>
      </c>
    </row>
    <row r="354" spans="1:4" x14ac:dyDescent="0.45">
      <c r="A354" s="1">
        <v>45788</v>
      </c>
      <c r="B354">
        <v>0.83372998237609897</v>
      </c>
      <c r="C354">
        <f t="shared" si="10"/>
        <v>1.1994290971161163</v>
      </c>
      <c r="D354">
        <f t="shared" si="11"/>
        <v>-2.3175797502051343E-3</v>
      </c>
    </row>
    <row r="355" spans="1:4" x14ac:dyDescent="0.45">
      <c r="A355" s="1">
        <v>45789</v>
      </c>
      <c r="B355">
        <v>0.84486997127533003</v>
      </c>
      <c r="C355">
        <f t="shared" si="10"/>
        <v>1.1836140873731154</v>
      </c>
      <c r="D355">
        <f t="shared" si="11"/>
        <v>-1.3273147571370658E-2</v>
      </c>
    </row>
    <row r="356" spans="1:4" x14ac:dyDescent="0.45">
      <c r="A356" s="1">
        <v>45790</v>
      </c>
      <c r="B356">
        <v>0.83942997455596902</v>
      </c>
      <c r="C356">
        <f t="shared" si="10"/>
        <v>1.1912845982524836</v>
      </c>
      <c r="D356">
        <f t="shared" si="11"/>
        <v>6.4596756049611626E-3</v>
      </c>
    </row>
    <row r="357" spans="1:4" x14ac:dyDescent="0.45">
      <c r="A357" s="1">
        <v>45791</v>
      </c>
      <c r="B357">
        <v>0.84123200178146396</v>
      </c>
      <c r="C357">
        <f t="shared" si="10"/>
        <v>1.1887327133089511</v>
      </c>
      <c r="D357">
        <f t="shared" si="11"/>
        <v>-2.1444263527439777E-3</v>
      </c>
    </row>
    <row r="358" spans="1:4" x14ac:dyDescent="0.45">
      <c r="A358" s="1">
        <v>45792</v>
      </c>
      <c r="B358">
        <v>0.83459997177124001</v>
      </c>
      <c r="C358">
        <f t="shared" si="10"/>
        <v>1.1981788087983489</v>
      </c>
      <c r="D358">
        <f t="shared" si="11"/>
        <v>7.9149517823028925E-3</v>
      </c>
    </row>
    <row r="359" spans="1:4" x14ac:dyDescent="0.45">
      <c r="A359" s="1">
        <v>45795</v>
      </c>
      <c r="B359">
        <v>0.83544999361038197</v>
      </c>
      <c r="C359">
        <f t="shared" si="10"/>
        <v>1.1969597314598306</v>
      </c>
      <c r="D359">
        <f t="shared" si="11"/>
        <v>-1.0179598576861848E-3</v>
      </c>
    </row>
    <row r="360" spans="1:4" x14ac:dyDescent="0.45">
      <c r="A360" s="1">
        <v>45796</v>
      </c>
      <c r="B360">
        <v>0.83499002456664995</v>
      </c>
      <c r="C360">
        <f t="shared" si="10"/>
        <v>1.1976190979275332</v>
      </c>
      <c r="D360">
        <f t="shared" si="11"/>
        <v>5.5071603930961777E-4</v>
      </c>
    </row>
    <row r="361" spans="1:4" x14ac:dyDescent="0.45">
      <c r="A361" s="1">
        <v>45797</v>
      </c>
      <c r="B361">
        <v>0.82671201229095503</v>
      </c>
      <c r="C361">
        <f t="shared" si="10"/>
        <v>1.2096110678600587</v>
      </c>
      <c r="D361">
        <f t="shared" si="11"/>
        <v>9.9633755884435682E-3</v>
      </c>
    </row>
    <row r="362" spans="1:4" x14ac:dyDescent="0.45">
      <c r="A362" s="1">
        <v>45798</v>
      </c>
      <c r="B362">
        <v>0.82507002353668202</v>
      </c>
      <c r="C362">
        <f t="shared" si="10"/>
        <v>1.2120183396234376</v>
      </c>
      <c r="D362">
        <f t="shared" si="11"/>
        <v>1.988142817292704E-3</v>
      </c>
    </row>
    <row r="363" spans="1:4" x14ac:dyDescent="0.45">
      <c r="A363" s="1">
        <v>45799</v>
      </c>
      <c r="B363">
        <v>0.82837998867034901</v>
      </c>
      <c r="C363">
        <f t="shared" si="10"/>
        <v>1.2071754673904207</v>
      </c>
      <c r="D363">
        <f t="shared" si="11"/>
        <v>-4.0037128799936261E-3</v>
      </c>
    </row>
    <row r="364" spans="1:4" x14ac:dyDescent="0.45">
      <c r="A364" s="1">
        <v>45802</v>
      </c>
      <c r="B364">
        <v>0.822409987449646</v>
      </c>
      <c r="C364">
        <f t="shared" si="10"/>
        <v>1.2159385407041003</v>
      </c>
      <c r="D364">
        <f t="shared" si="11"/>
        <v>7.2329337273956962E-3</v>
      </c>
    </row>
    <row r="365" spans="1:4" x14ac:dyDescent="0.45">
      <c r="A365" s="1">
        <v>45803</v>
      </c>
      <c r="B365">
        <v>0.82042002677917503</v>
      </c>
      <c r="C365">
        <f t="shared" si="10"/>
        <v>1.2188878469066928</v>
      </c>
      <c r="D365">
        <f t="shared" si="11"/>
        <v>2.4226020056756503E-3</v>
      </c>
    </row>
    <row r="366" spans="1:4" x14ac:dyDescent="0.45">
      <c r="A366" s="1">
        <v>45804</v>
      </c>
      <c r="B366">
        <v>0.82726001739501998</v>
      </c>
      <c r="C366">
        <f t="shared" si="10"/>
        <v>1.2088097804471747</v>
      </c>
      <c r="D366">
        <f t="shared" si="11"/>
        <v>-8.3026191061989496E-3</v>
      </c>
    </row>
    <row r="367" spans="1:4" x14ac:dyDescent="0.45">
      <c r="A367" s="1">
        <v>45805</v>
      </c>
      <c r="B367">
        <v>0.83254998922348</v>
      </c>
      <c r="C367">
        <f t="shared" si="10"/>
        <v>1.2011290768650429</v>
      </c>
      <c r="D367">
        <f t="shared" si="11"/>
        <v>-6.3742111670220536E-3</v>
      </c>
    </row>
    <row r="368" spans="1:4" x14ac:dyDescent="0.45">
      <c r="A368" s="1">
        <v>45806</v>
      </c>
      <c r="B368">
        <v>0.82196998596191395</v>
      </c>
      <c r="C368">
        <f t="shared" si="10"/>
        <v>1.2165894340165544</v>
      </c>
      <c r="D368">
        <f t="shared" si="11"/>
        <v>1.2789386205914494E-2</v>
      </c>
    </row>
    <row r="369" spans="1:4" x14ac:dyDescent="0.45">
      <c r="A369" s="1">
        <v>45809</v>
      </c>
      <c r="B369">
        <v>0.82226997613906905</v>
      </c>
      <c r="C369">
        <f t="shared" si="10"/>
        <v>1.2161455835897768</v>
      </c>
      <c r="D369">
        <f t="shared" si="11"/>
        <v>-3.6489829635394377E-4</v>
      </c>
    </row>
    <row r="370" spans="1:4" x14ac:dyDescent="0.45">
      <c r="A370" s="1">
        <v>45810</v>
      </c>
      <c r="B370">
        <v>0.81594002246856701</v>
      </c>
      <c r="C370">
        <f t="shared" si="10"/>
        <v>1.2255802785290186</v>
      </c>
      <c r="D370">
        <f t="shared" si="11"/>
        <v>7.7279288716183281E-3</v>
      </c>
    </row>
    <row r="371" spans="1:4" x14ac:dyDescent="0.45">
      <c r="A371" s="1">
        <v>45811</v>
      </c>
      <c r="B371">
        <v>0.82288998365402199</v>
      </c>
      <c r="C371">
        <f t="shared" si="10"/>
        <v>1.2152292771380271</v>
      </c>
      <c r="D371">
        <f t="shared" si="11"/>
        <v>-8.4816641429093509E-3</v>
      </c>
    </row>
    <row r="372" spans="1:4" x14ac:dyDescent="0.45">
      <c r="A372" s="1">
        <v>45812</v>
      </c>
      <c r="B372">
        <v>0.81796997785568204</v>
      </c>
      <c r="C372">
        <f t="shared" si="10"/>
        <v>1.2225387570109991</v>
      </c>
      <c r="D372">
        <f t="shared" si="11"/>
        <v>5.9968804875678294E-3</v>
      </c>
    </row>
    <row r="373" spans="1:4" x14ac:dyDescent="0.45">
      <c r="A373" s="1">
        <v>45813</v>
      </c>
      <c r="B373">
        <v>0.819249987602234</v>
      </c>
      <c r="C373">
        <f t="shared" si="10"/>
        <v>1.220628642213083</v>
      </c>
      <c r="D373">
        <f t="shared" si="11"/>
        <v>-1.563638404558837E-3</v>
      </c>
    </row>
    <row r="374" spans="1:4" x14ac:dyDescent="0.45">
      <c r="A374" s="1">
        <v>45816</v>
      </c>
      <c r="B374">
        <v>0.82125997543335005</v>
      </c>
      <c r="C374">
        <f t="shared" si="10"/>
        <v>1.2176412219192043</v>
      </c>
      <c r="D374">
        <f t="shared" si="11"/>
        <v>-2.4504439255871868E-3</v>
      </c>
    </row>
    <row r="375" spans="1:4" x14ac:dyDescent="0.45">
      <c r="A375" s="1">
        <v>45817</v>
      </c>
      <c r="B375">
        <v>0.82120001316070601</v>
      </c>
      <c r="C375">
        <f t="shared" si="10"/>
        <v>1.217730131482966</v>
      </c>
      <c r="D375">
        <f t="shared" si="11"/>
        <v>7.3015200476117537E-5</v>
      </c>
    </row>
    <row r="376" spans="1:4" x14ac:dyDescent="0.45">
      <c r="A376" s="1">
        <v>45818</v>
      </c>
      <c r="B376">
        <v>0.82191997766494795</v>
      </c>
      <c r="C376">
        <f t="shared" si="10"/>
        <v>1.2166634552927797</v>
      </c>
      <c r="D376">
        <f t="shared" si="11"/>
        <v>-8.7633837374964663E-4</v>
      </c>
    </row>
    <row r="377" spans="1:4" x14ac:dyDescent="0.45">
      <c r="A377" s="1">
        <v>45819</v>
      </c>
      <c r="B377">
        <v>0.81840002536773704</v>
      </c>
      <c r="C377">
        <f t="shared" si="10"/>
        <v>1.2218963453118949</v>
      </c>
      <c r="D377">
        <f t="shared" si="11"/>
        <v>4.2917939105542036E-3</v>
      </c>
    </row>
    <row r="378" spans="1:4" x14ac:dyDescent="0.45">
      <c r="A378" s="1">
        <v>45820</v>
      </c>
      <c r="B378">
        <v>0.80900001525878895</v>
      </c>
      <c r="C378">
        <f t="shared" si="10"/>
        <v>1.2360939198253447</v>
      </c>
      <c r="D378">
        <f t="shared" si="11"/>
        <v>1.1552309714374348E-2</v>
      </c>
    </row>
    <row r="379" spans="1:4" x14ac:dyDescent="0.45">
      <c r="A379" s="1">
        <v>45823</v>
      </c>
      <c r="B379">
        <v>0.81221598386764504</v>
      </c>
      <c r="C379">
        <f t="shared" si="10"/>
        <v>1.2311996068313713</v>
      </c>
      <c r="D379">
        <f t="shared" si="11"/>
        <v>-3.9673588576102092E-3</v>
      </c>
    </row>
    <row r="380" spans="1:4" x14ac:dyDescent="0.45">
      <c r="A380" s="1">
        <v>45824</v>
      </c>
      <c r="B380">
        <v>0.81370997428893999</v>
      </c>
      <c r="C380">
        <f t="shared" si="10"/>
        <v>1.2289390957433568</v>
      </c>
      <c r="D380">
        <f t="shared" si="11"/>
        <v>-1.8377107939712978E-3</v>
      </c>
    </row>
    <row r="381" spans="1:4" x14ac:dyDescent="0.45">
      <c r="A381" s="1">
        <v>45825</v>
      </c>
      <c r="B381">
        <v>0.81686997413635298</v>
      </c>
      <c r="C381">
        <f t="shared" si="10"/>
        <v>1.2241850375970347</v>
      </c>
      <c r="D381">
        <f t="shared" si="11"/>
        <v>-3.8759262389662652E-3</v>
      </c>
    </row>
    <row r="382" spans="1:4" x14ac:dyDescent="0.45">
      <c r="A382" s="1">
        <v>45826</v>
      </c>
      <c r="B382">
        <v>0.81906002759933505</v>
      </c>
      <c r="C382">
        <f t="shared" si="10"/>
        <v>1.220911735774727</v>
      </c>
      <c r="D382">
        <f t="shared" si="11"/>
        <v>-2.6774431289582623E-3</v>
      </c>
    </row>
    <row r="383" spans="1:4" x14ac:dyDescent="0.45">
      <c r="A383" s="1">
        <v>45827</v>
      </c>
      <c r="B383">
        <v>0.81638997793197599</v>
      </c>
      <c r="C383">
        <f t="shared" si="10"/>
        <v>1.2249047967653064</v>
      </c>
      <c r="D383">
        <f t="shared" si="11"/>
        <v>3.2652200074500259E-3</v>
      </c>
    </row>
    <row r="384" spans="1:4" x14ac:dyDescent="0.45">
      <c r="A384" s="1">
        <v>45830</v>
      </c>
      <c r="B384">
        <v>0.81774997711181596</v>
      </c>
      <c r="C384">
        <f t="shared" si="10"/>
        <v>1.2228676588067502</v>
      </c>
      <c r="D384">
        <f t="shared" si="11"/>
        <v>-1.6644834974296752E-3</v>
      </c>
    </row>
    <row r="385" spans="1:4" x14ac:dyDescent="0.45">
      <c r="A385" s="1">
        <v>45831</v>
      </c>
      <c r="B385">
        <v>0.81257998943328902</v>
      </c>
      <c r="C385">
        <f t="shared" si="10"/>
        <v>1.2306480752712379</v>
      </c>
      <c r="D385">
        <f t="shared" si="11"/>
        <v>6.3422805378411107E-3</v>
      </c>
    </row>
    <row r="386" spans="1:4" x14ac:dyDescent="0.45">
      <c r="A386" s="1">
        <v>45832</v>
      </c>
      <c r="B386">
        <v>0.80514997243881203</v>
      </c>
      <c r="C386">
        <f t="shared" ref="C386:C449" si="12">1/B386</f>
        <v>1.2420046379322154</v>
      </c>
      <c r="D386">
        <f t="shared" si="11"/>
        <v>9.1857966585502104E-3</v>
      </c>
    </row>
    <row r="387" spans="1:4" x14ac:dyDescent="0.45">
      <c r="A387" s="1">
        <v>45833</v>
      </c>
      <c r="B387">
        <v>0.80373001098632801</v>
      </c>
      <c r="C387">
        <f t="shared" si="12"/>
        <v>1.2441989055165574</v>
      </c>
      <c r="D387">
        <f t="shared" si="11"/>
        <v>1.7651556807252722E-3</v>
      </c>
    </row>
    <row r="388" spans="1:4" x14ac:dyDescent="0.45">
      <c r="A388" s="1">
        <v>45834</v>
      </c>
      <c r="B388">
        <v>0.80089002847671498</v>
      </c>
      <c r="C388">
        <f t="shared" si="12"/>
        <v>1.24861087595508</v>
      </c>
      <c r="D388">
        <f t="shared" ref="D388:D425" si="13">LN(C388)-LN(C387)</f>
        <v>3.5397606974366391E-3</v>
      </c>
    </row>
    <row r="389" spans="1:4" x14ac:dyDescent="0.45">
      <c r="A389" s="1">
        <v>45837</v>
      </c>
      <c r="B389">
        <v>0.79825001955032304</v>
      </c>
      <c r="C389">
        <f t="shared" si="12"/>
        <v>1.2527403388769454</v>
      </c>
      <c r="D389">
        <f t="shared" si="13"/>
        <v>3.301788768350411E-3</v>
      </c>
    </row>
    <row r="390" spans="1:4" x14ac:dyDescent="0.45">
      <c r="A390" s="1">
        <v>45838</v>
      </c>
      <c r="B390">
        <v>0.79272001981735196</v>
      </c>
      <c r="C390">
        <f t="shared" si="12"/>
        <v>1.2614794315783859</v>
      </c>
      <c r="D390">
        <f t="shared" si="13"/>
        <v>6.9517613365439324E-3</v>
      </c>
    </row>
    <row r="391" spans="1:4" x14ac:dyDescent="0.45">
      <c r="A391" s="1">
        <v>45839</v>
      </c>
      <c r="B391">
        <v>0.79069000482559204</v>
      </c>
      <c r="C391">
        <f t="shared" si="12"/>
        <v>1.2647181498399958</v>
      </c>
      <c r="D391">
        <f t="shared" si="13"/>
        <v>2.5641066715316463E-3</v>
      </c>
    </row>
    <row r="392" spans="1:4" x14ac:dyDescent="0.45">
      <c r="A392" s="1">
        <v>45840</v>
      </c>
      <c r="B392">
        <v>0.79149997234344505</v>
      </c>
      <c r="C392">
        <f t="shared" si="12"/>
        <v>1.2634239228578057</v>
      </c>
      <c r="D392">
        <f t="shared" si="13"/>
        <v>-1.0238563008197754E-3</v>
      </c>
    </row>
    <row r="393" spans="1:4" x14ac:dyDescent="0.45">
      <c r="A393" s="1">
        <v>45841</v>
      </c>
      <c r="B393">
        <v>0.79409998655319203</v>
      </c>
      <c r="C393">
        <f t="shared" si="12"/>
        <v>1.2592872647442312</v>
      </c>
      <c r="D393">
        <f t="shared" si="13"/>
        <v>-3.2795365886571226E-3</v>
      </c>
    </row>
    <row r="394" spans="1:4" x14ac:dyDescent="0.45">
      <c r="A394" s="1">
        <v>45844</v>
      </c>
      <c r="B394">
        <v>0.79404002428054798</v>
      </c>
      <c r="C394">
        <f t="shared" si="12"/>
        <v>1.2593823603615764</v>
      </c>
      <c r="D394">
        <f t="shared" si="13"/>
        <v>7.5512577308589623E-5</v>
      </c>
    </row>
    <row r="395" spans="1:4" x14ac:dyDescent="0.45">
      <c r="A395" s="1">
        <v>45845</v>
      </c>
      <c r="B395">
        <v>0.79716002941131603</v>
      </c>
      <c r="C395">
        <f t="shared" si="12"/>
        <v>1.2544532629646228</v>
      </c>
      <c r="D395">
        <f t="shared" si="13"/>
        <v>-3.9215799698092968E-3</v>
      </c>
    </row>
    <row r="396" spans="1:4" x14ac:dyDescent="0.45">
      <c r="A396" s="1">
        <v>45846</v>
      </c>
      <c r="B396">
        <v>0.79587000608444203</v>
      </c>
      <c r="C396">
        <f t="shared" si="12"/>
        <v>1.2564866025292825</v>
      </c>
      <c r="D396">
        <f t="shared" si="13"/>
        <v>1.6195847913889616E-3</v>
      </c>
    </row>
    <row r="397" spans="1:4" x14ac:dyDescent="0.45">
      <c r="A397" s="1">
        <v>45847</v>
      </c>
      <c r="B397">
        <v>0.792930006980896</v>
      </c>
      <c r="C397">
        <f t="shared" si="12"/>
        <v>1.2611453611240278</v>
      </c>
      <c r="D397">
        <f t="shared" si="13"/>
        <v>3.7009094097008866E-3</v>
      </c>
    </row>
    <row r="398" spans="1:4" x14ac:dyDescent="0.45">
      <c r="A398" s="1">
        <v>45848</v>
      </c>
      <c r="B398">
        <v>0.79672002792358398</v>
      </c>
      <c r="C398">
        <f t="shared" si="12"/>
        <v>1.2551460550153426</v>
      </c>
      <c r="D398">
        <f t="shared" si="13"/>
        <v>-4.7683805123787115E-3</v>
      </c>
    </row>
    <row r="399" spans="1:4" x14ac:dyDescent="0.45">
      <c r="A399" s="1">
        <v>45851</v>
      </c>
      <c r="B399">
        <v>0.79679000377654996</v>
      </c>
      <c r="C399">
        <f t="shared" si="12"/>
        <v>1.2550358253244827</v>
      </c>
      <c r="D399">
        <f t="shared" si="13"/>
        <v>-8.782605897536544E-5</v>
      </c>
    </row>
    <row r="400" spans="1:4" x14ac:dyDescent="0.45">
      <c r="A400" s="1">
        <v>45852</v>
      </c>
      <c r="B400">
        <v>0.79786998033523604</v>
      </c>
      <c r="C400">
        <f t="shared" si="12"/>
        <v>1.2533370406790292</v>
      </c>
      <c r="D400">
        <f t="shared" si="13"/>
        <v>-1.3544915336950181E-3</v>
      </c>
    </row>
    <row r="401" spans="1:4" x14ac:dyDescent="0.45">
      <c r="A401" s="1">
        <v>45853</v>
      </c>
      <c r="B401">
        <v>0.80141997337341297</v>
      </c>
      <c r="C401">
        <f t="shared" si="12"/>
        <v>1.2477852227599284</v>
      </c>
      <c r="D401">
        <f t="shared" si="13"/>
        <v>-4.4394687285763679E-3</v>
      </c>
    </row>
    <row r="402" spans="1:4" x14ac:dyDescent="0.45">
      <c r="A402" s="1">
        <v>45854</v>
      </c>
      <c r="B402">
        <v>0.800920009613037</v>
      </c>
      <c r="C402">
        <f t="shared" si="12"/>
        <v>1.2485641362402071</v>
      </c>
      <c r="D402">
        <f t="shared" si="13"/>
        <v>6.2404206586552657E-4</v>
      </c>
    </row>
    <row r="403" spans="1:4" x14ac:dyDescent="0.45">
      <c r="A403" s="1">
        <v>45855</v>
      </c>
      <c r="B403">
        <v>0.80287998914718595</v>
      </c>
      <c r="C403">
        <f t="shared" si="12"/>
        <v>1.245516158725283</v>
      </c>
      <c r="D403">
        <f t="shared" si="13"/>
        <v>-2.444170733760187E-3</v>
      </c>
    </row>
    <row r="404" spans="1:4" x14ac:dyDescent="0.45">
      <c r="A404" s="1">
        <v>45858</v>
      </c>
      <c r="B404">
        <v>0.80118000507354703</v>
      </c>
      <c r="C404">
        <f t="shared" si="12"/>
        <v>1.2481589576217664</v>
      </c>
      <c r="D404">
        <f t="shared" si="13"/>
        <v>2.1196024041815198E-3</v>
      </c>
    </row>
    <row r="405" spans="1:4" x14ac:dyDescent="0.45">
      <c r="A405" s="1">
        <v>45859</v>
      </c>
      <c r="B405">
        <v>0.79808402061462402</v>
      </c>
      <c r="C405">
        <f t="shared" si="12"/>
        <v>1.2530009048795083</v>
      </c>
      <c r="D405">
        <f t="shared" si="13"/>
        <v>3.871766358451989E-3</v>
      </c>
    </row>
    <row r="406" spans="1:4" x14ac:dyDescent="0.45">
      <c r="A406" s="1">
        <v>45860</v>
      </c>
      <c r="B406">
        <v>0.79363000392913796</v>
      </c>
      <c r="C406">
        <f t="shared" si="12"/>
        <v>1.2600330066267107</v>
      </c>
      <c r="D406">
        <f t="shared" si="13"/>
        <v>5.5965182717008233E-3</v>
      </c>
    </row>
    <row r="407" spans="1:4" x14ac:dyDescent="0.45">
      <c r="A407" s="1">
        <v>45861</v>
      </c>
      <c r="B407">
        <v>0.79204702377319303</v>
      </c>
      <c r="C407">
        <f t="shared" si="12"/>
        <v>1.2625513005984799</v>
      </c>
      <c r="D407">
        <f t="shared" si="13"/>
        <v>1.9965991234744129E-3</v>
      </c>
    </row>
    <row r="408" spans="1:4" x14ac:dyDescent="0.45">
      <c r="A408" s="1">
        <v>45862</v>
      </c>
      <c r="B408">
        <v>0.79487001895904497</v>
      </c>
      <c r="C408">
        <f t="shared" si="12"/>
        <v>1.2580673269191753</v>
      </c>
      <c r="D408">
        <f t="shared" si="13"/>
        <v>-3.5578396194330952E-3</v>
      </c>
    </row>
    <row r="409" spans="1:4" x14ac:dyDescent="0.45">
      <c r="A409" s="1">
        <v>45865</v>
      </c>
      <c r="B409">
        <v>0.79536998271942105</v>
      </c>
      <c r="C409">
        <f t="shared" si="12"/>
        <v>1.257276514988579</v>
      </c>
      <c r="D409">
        <f t="shared" si="13"/>
        <v>-6.2879034148455304E-4</v>
      </c>
    </row>
    <row r="410" spans="1:4" x14ac:dyDescent="0.45">
      <c r="A410" s="1">
        <v>45866</v>
      </c>
      <c r="B410">
        <v>0.80309998989105202</v>
      </c>
      <c r="C410">
        <f t="shared" si="12"/>
        <v>1.2451749627535911</v>
      </c>
      <c r="D410">
        <f t="shared" si="13"/>
        <v>-9.6718331431963345E-3</v>
      </c>
    </row>
    <row r="411" spans="1:4" x14ac:dyDescent="0.45">
      <c r="A411" s="1">
        <v>45867</v>
      </c>
      <c r="B411">
        <v>0.805469989776611</v>
      </c>
      <c r="C411">
        <f t="shared" si="12"/>
        <v>1.2415111831507712</v>
      </c>
      <c r="D411">
        <f t="shared" si="13"/>
        <v>-2.9467186761383268E-3</v>
      </c>
    </row>
    <row r="412" spans="1:4" x14ac:dyDescent="0.45">
      <c r="A412" s="1">
        <v>45868</v>
      </c>
      <c r="B412">
        <v>0.81321001052856401</v>
      </c>
      <c r="C412">
        <f t="shared" si="12"/>
        <v>1.229694650893473</v>
      </c>
      <c r="D412">
        <f t="shared" si="13"/>
        <v>-9.5634464402407915E-3</v>
      </c>
    </row>
    <row r="413" spans="1:4" x14ac:dyDescent="0.45">
      <c r="A413" s="1">
        <v>45869</v>
      </c>
      <c r="B413">
        <v>0.81389999389648404</v>
      </c>
      <c r="C413">
        <f t="shared" si="12"/>
        <v>1.2286521777848607</v>
      </c>
      <c r="D413">
        <f t="shared" si="13"/>
        <v>-8.4810911051094728E-4</v>
      </c>
    </row>
    <row r="414" spans="1:4" x14ac:dyDescent="0.45">
      <c r="A414" s="1">
        <v>45872</v>
      </c>
      <c r="B414">
        <v>0.80400997400283802</v>
      </c>
      <c r="C414">
        <f t="shared" si="12"/>
        <v>1.2437656650220488</v>
      </c>
      <c r="D414">
        <f t="shared" si="13"/>
        <v>1.2225826255711864E-2</v>
      </c>
    </row>
    <row r="415" spans="1:4" x14ac:dyDescent="0.45">
      <c r="A415" s="1">
        <v>45873</v>
      </c>
      <c r="B415">
        <v>0.807089984416962</v>
      </c>
      <c r="C415">
        <f t="shared" si="12"/>
        <v>1.2390192163298808</v>
      </c>
      <c r="D415">
        <f t="shared" si="13"/>
        <v>-3.8234923292912726E-3</v>
      </c>
    </row>
    <row r="416" spans="1:4" x14ac:dyDescent="0.45">
      <c r="A416" s="1">
        <v>45874</v>
      </c>
      <c r="B416">
        <v>0.80691999197006203</v>
      </c>
      <c r="C416">
        <f t="shared" si="12"/>
        <v>1.2392802383772163</v>
      </c>
      <c r="D416">
        <f t="shared" si="13"/>
        <v>2.1064609267049117E-4</v>
      </c>
    </row>
    <row r="417" spans="1:4" x14ac:dyDescent="0.45">
      <c r="A417" s="1">
        <v>45875</v>
      </c>
      <c r="B417">
        <v>0.80605000257492099</v>
      </c>
      <c r="C417">
        <f t="shared" si="12"/>
        <v>1.2406178237150389</v>
      </c>
      <c r="D417">
        <f t="shared" si="13"/>
        <v>1.0787422983062067E-3</v>
      </c>
    </row>
    <row r="418" spans="1:4" x14ac:dyDescent="0.45">
      <c r="A418" s="1">
        <v>45876</v>
      </c>
      <c r="B418">
        <v>0.80568999052047696</v>
      </c>
      <c r="C418">
        <f t="shared" si="12"/>
        <v>1.241172177594013</v>
      </c>
      <c r="D418">
        <f t="shared" si="13"/>
        <v>4.4673714367549078E-4</v>
      </c>
    </row>
    <row r="419" spans="1:4" x14ac:dyDescent="0.45">
      <c r="A419" s="1">
        <v>45879</v>
      </c>
      <c r="B419">
        <v>0.80747002363205</v>
      </c>
      <c r="C419">
        <f t="shared" si="12"/>
        <v>1.2384360666442307</v>
      </c>
      <c r="D419">
        <f t="shared" si="13"/>
        <v>-2.2068905978422371E-3</v>
      </c>
    </row>
    <row r="420" spans="1:4" x14ac:dyDescent="0.45">
      <c r="A420" s="1">
        <v>45880</v>
      </c>
      <c r="B420">
        <v>0.81180000305175803</v>
      </c>
      <c r="C420">
        <f t="shared" si="12"/>
        <v>1.231830495492426</v>
      </c>
      <c r="D420">
        <f t="shared" si="13"/>
        <v>-5.3480761933788479E-3</v>
      </c>
    </row>
    <row r="421" spans="1:4" x14ac:dyDescent="0.45">
      <c r="A421" s="1">
        <v>45881</v>
      </c>
      <c r="B421">
        <v>0.80614000558853105</v>
      </c>
      <c r="C421">
        <f t="shared" si="12"/>
        <v>1.2404793126101457</v>
      </c>
      <c r="D421">
        <f t="shared" si="13"/>
        <v>6.9965765381132528E-3</v>
      </c>
    </row>
    <row r="422" spans="1:4" x14ac:dyDescent="0.45">
      <c r="A422" s="1">
        <v>45882</v>
      </c>
      <c r="B422">
        <v>0.80471998453140303</v>
      </c>
      <c r="C422">
        <f t="shared" si="12"/>
        <v>1.2426682811690213</v>
      </c>
      <c r="D422">
        <f t="shared" si="13"/>
        <v>1.7630600221845427E-3</v>
      </c>
    </row>
    <row r="423" spans="1:4" x14ac:dyDescent="0.45">
      <c r="A423" s="1">
        <v>45883</v>
      </c>
      <c r="B423">
        <v>0.807519972324371</v>
      </c>
      <c r="C423">
        <f t="shared" si="12"/>
        <v>1.2383594638799993</v>
      </c>
      <c r="D423">
        <f t="shared" si="13"/>
        <v>-3.4734167158276263E-3</v>
      </c>
    </row>
    <row r="424" spans="1:4" x14ac:dyDescent="0.45">
      <c r="A424" s="1">
        <v>45886</v>
      </c>
      <c r="B424">
        <v>0.80659997463226296</v>
      </c>
      <c r="C424">
        <f t="shared" si="12"/>
        <v>1.2397719209648006</v>
      </c>
      <c r="D424">
        <f t="shared" si="13"/>
        <v>1.1399373305157057E-3</v>
      </c>
    </row>
    <row r="425" spans="1:4" x14ac:dyDescent="0.45">
      <c r="A425" s="1">
        <v>45887</v>
      </c>
      <c r="B425">
        <v>0.80741000175476096</v>
      </c>
      <c r="C425">
        <f t="shared" si="12"/>
        <v>1.2385281304748259</v>
      </c>
      <c r="D425">
        <f t="shared" si="13"/>
        <v>-1.0037449611310645E-3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6F42-C951-4B47-BFC5-9ACB34B4C09A}">
  <sheetPr codeName="Hoja3"/>
  <dimension ref="A1:C425"/>
  <sheetViews>
    <sheetView workbookViewId="0">
      <selection activeCell="C2" sqref="C2"/>
    </sheetView>
  </sheetViews>
  <sheetFormatPr baseColWidth="10" defaultRowHeight="14.25" x14ac:dyDescent="0.45"/>
  <sheetData>
    <row r="1" spans="1:3" x14ac:dyDescent="0.45">
      <c r="A1" t="s">
        <v>0</v>
      </c>
      <c r="B1" t="s">
        <v>16</v>
      </c>
      <c r="C1" t="s">
        <v>21</v>
      </c>
    </row>
    <row r="2" spans="1:3" x14ac:dyDescent="0.45">
      <c r="A2" s="1">
        <v>45292</v>
      </c>
      <c r="B2">
        <v>0.84075897932052601</v>
      </c>
      <c r="C2">
        <v>1.1894015105353586</v>
      </c>
    </row>
    <row r="3" spans="1:3" x14ac:dyDescent="0.45">
      <c r="A3" s="1">
        <v>45293</v>
      </c>
      <c r="B3">
        <v>0.84188997745513905</v>
      </c>
      <c r="C3">
        <v>1.1878036641115448</v>
      </c>
    </row>
    <row r="4" spans="1:3" x14ac:dyDescent="0.45">
      <c r="A4" s="1">
        <v>45294</v>
      </c>
      <c r="B4">
        <v>0.85012000799179099</v>
      </c>
      <c r="C4">
        <v>1.1763045106564016</v>
      </c>
    </row>
    <row r="5" spans="1:3" x14ac:dyDescent="0.45">
      <c r="A5" s="1">
        <v>45295</v>
      </c>
      <c r="B5">
        <v>0.84890002012252797</v>
      </c>
      <c r="C5">
        <v>1.177995024497305</v>
      </c>
    </row>
    <row r="6" spans="1:3" x14ac:dyDescent="0.45">
      <c r="A6" s="1">
        <v>45296</v>
      </c>
      <c r="B6">
        <v>0.85000002384185802</v>
      </c>
      <c r="C6">
        <v>1.1764705552361836</v>
      </c>
    </row>
    <row r="7" spans="1:3" x14ac:dyDescent="0.45">
      <c r="A7" s="1">
        <v>45299</v>
      </c>
      <c r="B7">
        <v>0.85073000192642201</v>
      </c>
      <c r="C7">
        <v>1.1754610719447602</v>
      </c>
    </row>
    <row r="8" spans="1:3" x14ac:dyDescent="0.45">
      <c r="A8" s="1">
        <v>45300</v>
      </c>
      <c r="B8">
        <v>0.84789997339248702</v>
      </c>
      <c r="C8">
        <v>1.1793843983730223</v>
      </c>
    </row>
    <row r="9" spans="1:3" x14ac:dyDescent="0.45">
      <c r="A9" s="1">
        <v>45301</v>
      </c>
      <c r="B9">
        <v>0.85237002372741699</v>
      </c>
      <c r="C9">
        <v>1.1731993995131325</v>
      </c>
    </row>
    <row r="10" spans="1:3" x14ac:dyDescent="0.45">
      <c r="A10" s="1">
        <v>45302</v>
      </c>
      <c r="B10">
        <v>0.850499987602234</v>
      </c>
      <c r="C10">
        <v>1.1757789706960995</v>
      </c>
    </row>
    <row r="11" spans="1:3" x14ac:dyDescent="0.45">
      <c r="A11" s="1">
        <v>45303</v>
      </c>
      <c r="B11">
        <v>0.85101002454757702</v>
      </c>
      <c r="C11">
        <v>1.1750742895556732</v>
      </c>
    </row>
    <row r="12" spans="1:3" x14ac:dyDescent="0.45">
      <c r="A12" s="1">
        <v>45306</v>
      </c>
      <c r="B12">
        <v>0.85332000255584695</v>
      </c>
      <c r="C12">
        <v>1.1718933073229505</v>
      </c>
    </row>
    <row r="13" spans="1:3" x14ac:dyDescent="0.45">
      <c r="A13" s="1">
        <v>45307</v>
      </c>
      <c r="B13">
        <v>0.85597997903823897</v>
      </c>
      <c r="C13">
        <v>1.1682516232722859</v>
      </c>
    </row>
    <row r="14" spans="1:3" x14ac:dyDescent="0.45">
      <c r="A14" s="1">
        <v>45308</v>
      </c>
      <c r="B14">
        <v>0.86129999160766602</v>
      </c>
      <c r="C14">
        <v>1.1610356551071623</v>
      </c>
    </row>
    <row r="15" spans="1:3" x14ac:dyDescent="0.45">
      <c r="A15" s="1">
        <v>45309</v>
      </c>
      <c r="B15">
        <v>0.86432200670242298</v>
      </c>
      <c r="C15">
        <v>1.1569762105389612</v>
      </c>
    </row>
    <row r="16" spans="1:3" x14ac:dyDescent="0.45">
      <c r="A16" s="1">
        <v>45310</v>
      </c>
      <c r="B16">
        <v>0.86808001995086703</v>
      </c>
      <c r="C16">
        <v>1.1519675341181099</v>
      </c>
    </row>
    <row r="17" spans="1:3" x14ac:dyDescent="0.45">
      <c r="A17" s="1">
        <v>45313</v>
      </c>
      <c r="B17">
        <v>0.86848002672195401</v>
      </c>
      <c r="C17">
        <v>1.1514369579395662</v>
      </c>
    </row>
    <row r="18" spans="1:3" x14ac:dyDescent="0.45">
      <c r="A18" s="1">
        <v>45314</v>
      </c>
      <c r="B18">
        <v>0.86912000179290805</v>
      </c>
      <c r="C18">
        <v>1.1505890992464787</v>
      </c>
    </row>
    <row r="19" spans="1:3" x14ac:dyDescent="0.45">
      <c r="A19" s="1">
        <v>45315</v>
      </c>
      <c r="B19">
        <v>0.86959999799728405</v>
      </c>
      <c r="C19">
        <v>1.1499540044883063</v>
      </c>
    </row>
    <row r="20" spans="1:3" x14ac:dyDescent="0.45">
      <c r="A20" s="1">
        <v>45316</v>
      </c>
      <c r="B20">
        <v>0.86302000284194902</v>
      </c>
      <c r="C20">
        <v>1.1587216944068179</v>
      </c>
    </row>
    <row r="21" spans="1:3" x14ac:dyDescent="0.45">
      <c r="A21" s="1">
        <v>45317</v>
      </c>
      <c r="B21">
        <v>0.86690002679824796</v>
      </c>
      <c r="C21">
        <v>1.1535355509139096</v>
      </c>
    </row>
    <row r="22" spans="1:3" x14ac:dyDescent="0.45">
      <c r="A22" s="1">
        <v>45320</v>
      </c>
      <c r="B22">
        <v>0.86413997411727905</v>
      </c>
      <c r="C22">
        <v>1.1572199295854844</v>
      </c>
    </row>
    <row r="23" spans="1:3" x14ac:dyDescent="0.45">
      <c r="A23" s="1">
        <v>45321</v>
      </c>
      <c r="B23">
        <v>0.86132001876831099</v>
      </c>
      <c r="C23">
        <v>1.1610086590463804</v>
      </c>
    </row>
    <row r="24" spans="1:3" x14ac:dyDescent="0.45">
      <c r="A24" s="1">
        <v>45322</v>
      </c>
      <c r="B24">
        <v>0.86185997724533103</v>
      </c>
      <c r="C24">
        <v>1.1602812828090601</v>
      </c>
    </row>
    <row r="25" spans="1:3" x14ac:dyDescent="0.45">
      <c r="A25" s="1">
        <v>45323</v>
      </c>
      <c r="B25">
        <v>0.86233997344970703</v>
      </c>
      <c r="C25">
        <v>1.1596354463305203</v>
      </c>
    </row>
    <row r="26" spans="1:3" x14ac:dyDescent="0.45">
      <c r="A26" s="1">
        <v>45324</v>
      </c>
      <c r="B26">
        <v>0.85762000083923295</v>
      </c>
      <c r="C26">
        <v>1.1660175824041412</v>
      </c>
    </row>
    <row r="27" spans="1:3" x14ac:dyDescent="0.45">
      <c r="A27" s="1">
        <v>45327</v>
      </c>
      <c r="B27">
        <v>0.86698001623153698</v>
      </c>
      <c r="C27">
        <v>1.1534291232532152</v>
      </c>
    </row>
    <row r="28" spans="1:3" x14ac:dyDescent="0.45">
      <c r="A28" s="1">
        <v>45328</v>
      </c>
      <c r="B28">
        <v>0.87070000171661399</v>
      </c>
      <c r="C28">
        <v>1.148501203661958</v>
      </c>
    </row>
    <row r="29" spans="1:3" x14ac:dyDescent="0.45">
      <c r="A29" s="1">
        <v>45329</v>
      </c>
      <c r="B29">
        <v>0.86949998140335105</v>
      </c>
      <c r="C29">
        <v>1.1500862810669934</v>
      </c>
    </row>
    <row r="30" spans="1:3" x14ac:dyDescent="0.45">
      <c r="A30" s="1">
        <v>45330</v>
      </c>
      <c r="B30">
        <v>0.87391000986099199</v>
      </c>
      <c r="C30">
        <v>1.1442825791171158</v>
      </c>
    </row>
    <row r="31" spans="1:3" x14ac:dyDescent="0.45">
      <c r="A31" s="1">
        <v>45331</v>
      </c>
      <c r="B31">
        <v>0.87344998121261597</v>
      </c>
      <c r="C31">
        <v>1.1448852498819611</v>
      </c>
    </row>
    <row r="32" spans="1:3" x14ac:dyDescent="0.45">
      <c r="A32" s="1">
        <v>45334</v>
      </c>
      <c r="B32">
        <v>0.87415999174117998</v>
      </c>
      <c r="C32">
        <v>1.1439553507912983</v>
      </c>
    </row>
    <row r="33" spans="1:3" x14ac:dyDescent="0.45">
      <c r="A33" s="1">
        <v>45335</v>
      </c>
      <c r="B33">
        <v>0.87580001354217496</v>
      </c>
      <c r="C33">
        <v>1.1418131817051451</v>
      </c>
    </row>
    <row r="34" spans="1:3" x14ac:dyDescent="0.45">
      <c r="A34" s="1">
        <v>45336</v>
      </c>
      <c r="B34">
        <v>0.88740998506545998</v>
      </c>
      <c r="C34">
        <v>1.1268748569763216</v>
      </c>
    </row>
    <row r="35" spans="1:3" x14ac:dyDescent="0.45">
      <c r="A35" s="1">
        <v>45337</v>
      </c>
      <c r="B35">
        <v>0.88510000705719005</v>
      </c>
      <c r="C35">
        <v>1.1298158310096882</v>
      </c>
    </row>
    <row r="36" spans="1:3" x14ac:dyDescent="0.45">
      <c r="A36" s="1">
        <v>45338</v>
      </c>
      <c r="B36">
        <v>0.87980002164840698</v>
      </c>
      <c r="C36">
        <v>1.1366219315684767</v>
      </c>
    </row>
    <row r="37" spans="1:3" x14ac:dyDescent="0.45">
      <c r="A37" s="1">
        <v>45341</v>
      </c>
      <c r="B37">
        <v>0.88064998388290405</v>
      </c>
      <c r="C37">
        <v>1.1355249171650077</v>
      </c>
    </row>
    <row r="38" spans="1:3" x14ac:dyDescent="0.45">
      <c r="A38" s="1">
        <v>45342</v>
      </c>
      <c r="B38">
        <v>0.88274699449539196</v>
      </c>
      <c r="C38">
        <v>1.1328274196749135</v>
      </c>
    </row>
    <row r="39" spans="1:3" x14ac:dyDescent="0.45">
      <c r="A39" s="1">
        <v>45343</v>
      </c>
      <c r="B39">
        <v>0.88181000947952304</v>
      </c>
      <c r="C39">
        <v>1.1340311283041991</v>
      </c>
    </row>
    <row r="40" spans="1:3" x14ac:dyDescent="0.45">
      <c r="A40" s="1">
        <v>45344</v>
      </c>
      <c r="B40">
        <v>0.87924998998642001</v>
      </c>
      <c r="C40">
        <v>1.1373329671751773</v>
      </c>
    </row>
    <row r="41" spans="1:3" x14ac:dyDescent="0.45">
      <c r="A41" s="1">
        <v>45345</v>
      </c>
      <c r="B41">
        <v>0.87994998693466198</v>
      </c>
      <c r="C41">
        <v>1.1364282230215568</v>
      </c>
    </row>
    <row r="42" spans="1:3" x14ac:dyDescent="0.45">
      <c r="A42" s="1">
        <v>45348</v>
      </c>
      <c r="B42">
        <v>0.88125002384185802</v>
      </c>
      <c r="C42">
        <v>1.1347517423494016</v>
      </c>
    </row>
    <row r="43" spans="1:3" x14ac:dyDescent="0.45">
      <c r="A43" s="1">
        <v>45349</v>
      </c>
      <c r="B43">
        <v>0.87989997863769498</v>
      </c>
      <c r="C43">
        <v>1.1364928108627186</v>
      </c>
    </row>
    <row r="44" spans="1:3" x14ac:dyDescent="0.45">
      <c r="A44" s="1">
        <v>45350</v>
      </c>
      <c r="B44">
        <v>0.87879997491836503</v>
      </c>
      <c r="C44">
        <v>1.1379153715757602</v>
      </c>
    </row>
    <row r="45" spans="1:3" x14ac:dyDescent="0.45">
      <c r="A45" s="1">
        <v>45351</v>
      </c>
      <c r="B45">
        <v>0.87870997190475497</v>
      </c>
      <c r="C45">
        <v>1.1380319240401109</v>
      </c>
    </row>
    <row r="46" spans="1:3" x14ac:dyDescent="0.45">
      <c r="A46" s="1">
        <v>45352</v>
      </c>
      <c r="B46">
        <v>0.88440001010894798</v>
      </c>
      <c r="C46">
        <v>1.1307100730096231</v>
      </c>
    </row>
    <row r="47" spans="1:3" x14ac:dyDescent="0.45">
      <c r="A47" s="1">
        <v>45355</v>
      </c>
      <c r="B47">
        <v>0.88334000110626198</v>
      </c>
      <c r="C47">
        <v>1.1320669263790131</v>
      </c>
    </row>
    <row r="48" spans="1:3" x14ac:dyDescent="0.45">
      <c r="A48" s="1">
        <v>45356</v>
      </c>
      <c r="B48">
        <v>0.88520002365112305</v>
      </c>
      <c r="C48">
        <v>1.1296881758716741</v>
      </c>
    </row>
    <row r="49" spans="1:3" x14ac:dyDescent="0.45">
      <c r="A49" s="1">
        <v>45357</v>
      </c>
      <c r="B49">
        <v>0.88358002901077304</v>
      </c>
      <c r="C49">
        <v>1.1317593960555752</v>
      </c>
    </row>
    <row r="50" spans="1:3" x14ac:dyDescent="0.45">
      <c r="A50" s="1">
        <v>45358</v>
      </c>
      <c r="B50">
        <v>0.88209998607635498</v>
      </c>
      <c r="C50">
        <v>1.13365833327815</v>
      </c>
    </row>
    <row r="51" spans="1:3" x14ac:dyDescent="0.45">
      <c r="A51" s="1">
        <v>45359</v>
      </c>
      <c r="B51">
        <v>0.87709999084472701</v>
      </c>
      <c r="C51">
        <v>1.1401208647111136</v>
      </c>
    </row>
    <row r="52" spans="1:3" x14ac:dyDescent="0.45">
      <c r="A52" s="1">
        <v>45362</v>
      </c>
      <c r="B52">
        <v>0.87751001119613603</v>
      </c>
      <c r="C52">
        <v>1.1395881383015762</v>
      </c>
    </row>
    <row r="53" spans="1:3" x14ac:dyDescent="0.45">
      <c r="A53" s="1">
        <v>45363</v>
      </c>
      <c r="B53">
        <v>0.877250015735626</v>
      </c>
      <c r="C53">
        <v>1.139925884368826</v>
      </c>
    </row>
    <row r="54" spans="1:3" x14ac:dyDescent="0.45">
      <c r="A54" s="1">
        <v>45364</v>
      </c>
      <c r="B54">
        <v>0.87739002704620395</v>
      </c>
      <c r="C54">
        <v>1.1397439783611072</v>
      </c>
    </row>
    <row r="55" spans="1:3" x14ac:dyDescent="0.45">
      <c r="A55" s="1">
        <v>45365</v>
      </c>
      <c r="B55">
        <v>0.87838000059127797</v>
      </c>
      <c r="C55">
        <v>1.1384594359239213</v>
      </c>
    </row>
    <row r="56" spans="1:3" x14ac:dyDescent="0.45">
      <c r="A56" s="1">
        <v>45366</v>
      </c>
      <c r="B56">
        <v>0.88427001237869296</v>
      </c>
      <c r="C56">
        <v>1.1308763002264348</v>
      </c>
    </row>
    <row r="57" spans="1:3" x14ac:dyDescent="0.45">
      <c r="A57" s="1">
        <v>45369</v>
      </c>
      <c r="B57">
        <v>0.88358998298644997</v>
      </c>
      <c r="C57">
        <v>1.1317466463575054</v>
      </c>
    </row>
    <row r="58" spans="1:3" x14ac:dyDescent="0.45">
      <c r="A58" s="1">
        <v>45370</v>
      </c>
      <c r="B58">
        <v>0.88751000165939298</v>
      </c>
      <c r="C58">
        <v>1.1267478655229604</v>
      </c>
    </row>
    <row r="59" spans="1:3" x14ac:dyDescent="0.45">
      <c r="A59" s="1">
        <v>45371</v>
      </c>
      <c r="B59">
        <v>0.88854002952575695</v>
      </c>
      <c r="C59">
        <v>1.125441698483447</v>
      </c>
    </row>
    <row r="60" spans="1:3" x14ac:dyDescent="0.45">
      <c r="A60" s="1">
        <v>45372</v>
      </c>
      <c r="B60">
        <v>0.88555002212524403</v>
      </c>
      <c r="C60">
        <v>1.1292416859751027</v>
      </c>
    </row>
    <row r="61" spans="1:3" x14ac:dyDescent="0.45">
      <c r="A61" s="1">
        <v>45373</v>
      </c>
      <c r="B61">
        <v>0.89767998456955</v>
      </c>
      <c r="C61">
        <v>1.1139827301368581</v>
      </c>
    </row>
    <row r="62" spans="1:3" x14ac:dyDescent="0.45">
      <c r="A62" s="1">
        <v>45376</v>
      </c>
      <c r="B62">
        <v>0.89762002229690596</v>
      </c>
      <c r="C62">
        <v>1.114057145740929</v>
      </c>
    </row>
    <row r="63" spans="1:3" x14ac:dyDescent="0.45">
      <c r="A63" s="1">
        <v>45377</v>
      </c>
      <c r="B63">
        <v>0.89946997165679898</v>
      </c>
      <c r="C63">
        <v>1.1117658526810266</v>
      </c>
    </row>
    <row r="64" spans="1:3" x14ac:dyDescent="0.45">
      <c r="A64" s="1">
        <v>45378</v>
      </c>
      <c r="B64">
        <v>0.90364998579025302</v>
      </c>
      <c r="C64">
        <v>1.1066231568913132</v>
      </c>
    </row>
    <row r="65" spans="1:3" x14ac:dyDescent="0.45">
      <c r="A65" s="1">
        <v>45379</v>
      </c>
      <c r="B65">
        <v>0.90549999475479104</v>
      </c>
      <c r="C65">
        <v>1.1043622372088466</v>
      </c>
    </row>
    <row r="66" spans="1:3" x14ac:dyDescent="0.45">
      <c r="A66" s="1">
        <v>45380</v>
      </c>
      <c r="B66">
        <v>0.90106999874115001</v>
      </c>
      <c r="C66">
        <v>1.10979169364984</v>
      </c>
    </row>
    <row r="67" spans="1:3" x14ac:dyDescent="0.45">
      <c r="A67" s="1">
        <v>45382</v>
      </c>
      <c r="B67">
        <v>0.90200001001357999</v>
      </c>
      <c r="C67">
        <v>1.1086474378031821</v>
      </c>
    </row>
    <row r="68" spans="1:3" x14ac:dyDescent="0.45">
      <c r="A68" s="1">
        <v>45383</v>
      </c>
      <c r="B68">
        <v>0.90507000684738204</v>
      </c>
      <c r="C68">
        <v>1.1048869064651543</v>
      </c>
    </row>
    <row r="69" spans="1:3" x14ac:dyDescent="0.45">
      <c r="A69" s="1">
        <v>45384</v>
      </c>
      <c r="B69">
        <v>0.90781998634338401</v>
      </c>
      <c r="C69">
        <v>1.1015399694248953</v>
      </c>
    </row>
    <row r="70" spans="1:3" x14ac:dyDescent="0.45">
      <c r="A70" s="1">
        <v>45385</v>
      </c>
      <c r="B70">
        <v>0.90289002656936601</v>
      </c>
      <c r="C70">
        <v>1.1075545975400951</v>
      </c>
    </row>
    <row r="71" spans="1:3" x14ac:dyDescent="0.45">
      <c r="A71" s="1">
        <v>45386</v>
      </c>
      <c r="B71">
        <v>0.90151000022888195</v>
      </c>
      <c r="C71">
        <v>1.1092500357690016</v>
      </c>
    </row>
    <row r="72" spans="1:3" x14ac:dyDescent="0.45">
      <c r="A72" s="1">
        <v>45389</v>
      </c>
      <c r="B72">
        <v>0.90316998958587602</v>
      </c>
      <c r="C72">
        <v>1.1072112797487024</v>
      </c>
    </row>
    <row r="73" spans="1:3" x14ac:dyDescent="0.45">
      <c r="A73" s="1">
        <v>45390</v>
      </c>
      <c r="B73">
        <v>0.905009984970093</v>
      </c>
      <c r="C73">
        <v>1.1049601845365784</v>
      </c>
    </row>
    <row r="74" spans="1:3" x14ac:dyDescent="0.45">
      <c r="A74" s="1">
        <v>45391</v>
      </c>
      <c r="B74">
        <v>0.90298002958297696</v>
      </c>
      <c r="C74">
        <v>1.1074442039009764</v>
      </c>
    </row>
    <row r="75" spans="1:3" x14ac:dyDescent="0.45">
      <c r="A75" s="1">
        <v>45392</v>
      </c>
      <c r="B75">
        <v>0.91303998231887795</v>
      </c>
      <c r="C75">
        <v>1.0952422887990807</v>
      </c>
    </row>
    <row r="76" spans="1:3" x14ac:dyDescent="0.45">
      <c r="A76" s="1">
        <v>45393</v>
      </c>
      <c r="B76">
        <v>0.90982997417449996</v>
      </c>
      <c r="C76">
        <v>1.0991064576733829</v>
      </c>
    </row>
    <row r="77" spans="1:3" x14ac:dyDescent="0.45">
      <c r="A77" s="1">
        <v>45396</v>
      </c>
      <c r="B77">
        <v>0.91377002000808705</v>
      </c>
      <c r="C77">
        <v>1.0943672675879099</v>
      </c>
    </row>
    <row r="78" spans="1:3" x14ac:dyDescent="0.45">
      <c r="A78" s="1">
        <v>45397</v>
      </c>
      <c r="B78">
        <v>0.91159999370574996</v>
      </c>
      <c r="C78">
        <v>1.0969723638707969</v>
      </c>
    </row>
    <row r="79" spans="1:3" x14ac:dyDescent="0.45">
      <c r="A79" s="1">
        <v>45398</v>
      </c>
      <c r="B79">
        <v>0.91255998611450195</v>
      </c>
      <c r="C79">
        <v>1.0958183738230733</v>
      </c>
    </row>
    <row r="80" spans="1:3" x14ac:dyDescent="0.45">
      <c r="A80" s="1">
        <v>45399</v>
      </c>
      <c r="B80">
        <v>0.91039997339248702</v>
      </c>
      <c r="C80">
        <v>1.0984183097827103</v>
      </c>
    </row>
    <row r="81" spans="1:3" x14ac:dyDescent="0.45">
      <c r="A81" s="1">
        <v>45400</v>
      </c>
      <c r="B81">
        <v>0.91210001707077004</v>
      </c>
      <c r="C81">
        <v>1.096370991430877</v>
      </c>
    </row>
    <row r="82" spans="1:3" x14ac:dyDescent="0.45">
      <c r="A82" s="1">
        <v>45403</v>
      </c>
      <c r="B82">
        <v>0.910983026027679</v>
      </c>
      <c r="C82">
        <v>1.0977152937310781</v>
      </c>
    </row>
    <row r="83" spans="1:3" x14ac:dyDescent="0.45">
      <c r="A83" s="1">
        <v>45404</v>
      </c>
      <c r="B83">
        <v>0.91188997030258201</v>
      </c>
      <c r="C83">
        <v>1.0966235319686446</v>
      </c>
    </row>
    <row r="84" spans="1:3" x14ac:dyDescent="0.45">
      <c r="A84" s="1">
        <v>45405</v>
      </c>
      <c r="B84">
        <v>0.91140002012252797</v>
      </c>
      <c r="C84">
        <v>1.0972130545548602</v>
      </c>
    </row>
    <row r="85" spans="1:3" x14ac:dyDescent="0.45">
      <c r="A85" s="1">
        <v>45406</v>
      </c>
      <c r="B85">
        <v>0.91443997621536299</v>
      </c>
      <c r="C85">
        <v>1.0935654892721864</v>
      </c>
    </row>
    <row r="86" spans="1:3" x14ac:dyDescent="0.45">
      <c r="A86" s="1">
        <v>45407</v>
      </c>
      <c r="B86">
        <v>0.912519991397858</v>
      </c>
      <c r="C86">
        <v>1.0958664023000027</v>
      </c>
    </row>
    <row r="87" spans="1:3" x14ac:dyDescent="0.45">
      <c r="A87" s="1">
        <v>45410</v>
      </c>
      <c r="B87">
        <v>0.913688004016876</v>
      </c>
      <c r="C87">
        <v>1.0944655020134531</v>
      </c>
    </row>
    <row r="88" spans="1:3" x14ac:dyDescent="0.45">
      <c r="A88" s="1">
        <v>45411</v>
      </c>
      <c r="B88">
        <v>0.91071999073028598</v>
      </c>
      <c r="C88">
        <v>1.0980323372479419</v>
      </c>
    </row>
    <row r="89" spans="1:3" x14ac:dyDescent="0.45">
      <c r="A89" s="1">
        <v>45412</v>
      </c>
      <c r="B89">
        <v>0.91948997974395796</v>
      </c>
      <c r="C89">
        <v>1.087559431891211</v>
      </c>
    </row>
    <row r="90" spans="1:3" x14ac:dyDescent="0.45">
      <c r="A90" s="1">
        <v>45413</v>
      </c>
      <c r="B90">
        <v>0.91636002063751198</v>
      </c>
      <c r="C90">
        <v>1.091274147146118</v>
      </c>
    </row>
    <row r="91" spans="1:3" x14ac:dyDescent="0.45">
      <c r="A91" s="1">
        <v>45414</v>
      </c>
      <c r="B91">
        <v>0.90977001190185502</v>
      </c>
      <c r="C91">
        <v>1.0991788989719733</v>
      </c>
    </row>
    <row r="92" spans="1:3" x14ac:dyDescent="0.45">
      <c r="A92" s="1">
        <v>45417</v>
      </c>
      <c r="B92">
        <v>0.90593999624252297</v>
      </c>
      <c r="C92">
        <v>1.1038258650104866</v>
      </c>
    </row>
    <row r="93" spans="1:3" x14ac:dyDescent="0.45">
      <c r="A93" s="1">
        <v>45418</v>
      </c>
      <c r="B93">
        <v>0.90670001506805398</v>
      </c>
      <c r="C93">
        <v>1.1029006103247316</v>
      </c>
    </row>
    <row r="94" spans="1:3" x14ac:dyDescent="0.45">
      <c r="A94" s="1">
        <v>45419</v>
      </c>
      <c r="B94">
        <v>0.90847998857498202</v>
      </c>
      <c r="C94">
        <v>1.1007397109193058</v>
      </c>
    </row>
    <row r="95" spans="1:3" x14ac:dyDescent="0.45">
      <c r="A95" s="1">
        <v>45420</v>
      </c>
      <c r="B95">
        <v>0.90798997879028298</v>
      </c>
      <c r="C95">
        <v>1.1013337408550501</v>
      </c>
    </row>
    <row r="96" spans="1:3" x14ac:dyDescent="0.45">
      <c r="A96" s="1">
        <v>45421</v>
      </c>
      <c r="B96">
        <v>0.90584999322891202</v>
      </c>
      <c r="C96">
        <v>1.103935538416785</v>
      </c>
    </row>
    <row r="97" spans="1:3" x14ac:dyDescent="0.45">
      <c r="A97" s="1">
        <v>45424</v>
      </c>
      <c r="B97">
        <v>0.90644997358322099</v>
      </c>
      <c r="C97">
        <v>1.1032048421238001</v>
      </c>
    </row>
    <row r="98" spans="1:3" x14ac:dyDescent="0.45">
      <c r="A98" s="1">
        <v>45425</v>
      </c>
      <c r="B98">
        <v>0.90789997577667203</v>
      </c>
      <c r="C98">
        <v>1.1014429195733155</v>
      </c>
    </row>
    <row r="99" spans="1:3" x14ac:dyDescent="0.45">
      <c r="A99" s="1">
        <v>45426</v>
      </c>
      <c r="B99">
        <v>0.90670001506805398</v>
      </c>
      <c r="C99">
        <v>1.1029006103247316</v>
      </c>
    </row>
    <row r="100" spans="1:3" x14ac:dyDescent="0.45">
      <c r="A100" s="1">
        <v>45427</v>
      </c>
      <c r="B100">
        <v>0.90052998065948497</v>
      </c>
      <c r="C100">
        <v>1.11045719906812</v>
      </c>
    </row>
    <row r="101" spans="1:3" x14ac:dyDescent="0.45">
      <c r="A101" s="1">
        <v>45428</v>
      </c>
      <c r="B101">
        <v>0.90599000453948997</v>
      </c>
      <c r="C101">
        <v>1.103764936687458</v>
      </c>
    </row>
    <row r="102" spans="1:3" x14ac:dyDescent="0.45">
      <c r="A102" s="1">
        <v>45431</v>
      </c>
      <c r="B102">
        <v>0.90869998931884799</v>
      </c>
      <c r="C102">
        <v>1.1004732164128115</v>
      </c>
    </row>
    <row r="103" spans="1:3" x14ac:dyDescent="0.45">
      <c r="A103" s="1">
        <v>45432</v>
      </c>
      <c r="B103">
        <v>0.91012001037597701</v>
      </c>
      <c r="C103">
        <v>1.0987561954460192</v>
      </c>
    </row>
    <row r="104" spans="1:3" x14ac:dyDescent="0.45">
      <c r="A104" s="1">
        <v>45433</v>
      </c>
      <c r="B104">
        <v>0.91115999221801802</v>
      </c>
      <c r="C104">
        <v>1.0975020946274436</v>
      </c>
    </row>
    <row r="105" spans="1:3" x14ac:dyDescent="0.45">
      <c r="A105" s="1">
        <v>45434</v>
      </c>
      <c r="B105">
        <v>0.91500002145767201</v>
      </c>
      <c r="C105">
        <v>1.092896149233872</v>
      </c>
    </row>
    <row r="106" spans="1:3" x14ac:dyDescent="0.45">
      <c r="A106" s="1">
        <v>45435</v>
      </c>
      <c r="B106">
        <v>0.91433000564575195</v>
      </c>
      <c r="C106">
        <v>1.0936970172971006</v>
      </c>
    </row>
    <row r="107" spans="1:3" x14ac:dyDescent="0.45">
      <c r="A107" s="1">
        <v>45438</v>
      </c>
      <c r="B107">
        <v>0.91439998149871804</v>
      </c>
      <c r="C107">
        <v>1.0936133204650573</v>
      </c>
    </row>
    <row r="108" spans="1:3" x14ac:dyDescent="0.45">
      <c r="A108" s="1">
        <v>45439</v>
      </c>
      <c r="B108">
        <v>0.91320002079009999</v>
      </c>
      <c r="C108">
        <v>1.0950503473869839</v>
      </c>
    </row>
    <row r="109" spans="1:3" x14ac:dyDescent="0.45">
      <c r="A109" s="1">
        <v>45440</v>
      </c>
      <c r="B109">
        <v>0.91228997707366899</v>
      </c>
      <c r="C109">
        <v>1.0961427014770855</v>
      </c>
    </row>
    <row r="110" spans="1:3" x14ac:dyDescent="0.45">
      <c r="A110" s="1">
        <v>45441</v>
      </c>
      <c r="B110">
        <v>0.91280001401901201</v>
      </c>
      <c r="C110">
        <v>1.0955302198091024</v>
      </c>
    </row>
    <row r="111" spans="1:3" x14ac:dyDescent="0.45">
      <c r="A111" s="1">
        <v>45442</v>
      </c>
      <c r="B111">
        <v>0.90331000089645397</v>
      </c>
      <c r="C111">
        <v>1.1070396641325679</v>
      </c>
    </row>
    <row r="112" spans="1:3" x14ac:dyDescent="0.45">
      <c r="A112" s="1">
        <v>45445</v>
      </c>
      <c r="B112">
        <v>0.901319980621338</v>
      </c>
      <c r="C112">
        <v>1.1094838919588086</v>
      </c>
    </row>
    <row r="113" spans="1:3" x14ac:dyDescent="0.45">
      <c r="A113" s="1">
        <v>45446</v>
      </c>
      <c r="B113">
        <v>0.89502000808715798</v>
      </c>
      <c r="C113">
        <v>1.1172934582068237</v>
      </c>
    </row>
    <row r="114" spans="1:3" x14ac:dyDescent="0.45">
      <c r="A114" s="1">
        <v>45447</v>
      </c>
      <c r="B114">
        <v>0.88994997739791903</v>
      </c>
      <c r="C114">
        <v>1.1236586610450294</v>
      </c>
    </row>
    <row r="115" spans="1:3" x14ac:dyDescent="0.45">
      <c r="A115" s="1">
        <v>45448</v>
      </c>
      <c r="B115">
        <v>0.89249998331069902</v>
      </c>
      <c r="C115">
        <v>1.1204482002235263</v>
      </c>
    </row>
    <row r="116" spans="1:3" x14ac:dyDescent="0.45">
      <c r="A116" s="1">
        <v>45449</v>
      </c>
      <c r="B116">
        <v>0.88972002267837502</v>
      </c>
      <c r="C116">
        <v>1.1239490789356892</v>
      </c>
    </row>
    <row r="117" spans="1:3" x14ac:dyDescent="0.45">
      <c r="A117" s="1">
        <v>45452</v>
      </c>
      <c r="B117">
        <v>0.89609998464584395</v>
      </c>
      <c r="C117">
        <v>1.1159469000495736</v>
      </c>
    </row>
    <row r="118" spans="1:3" x14ac:dyDescent="0.45">
      <c r="A118" s="1">
        <v>45453</v>
      </c>
      <c r="B118">
        <v>0.89657998085021995</v>
      </c>
      <c r="C118">
        <v>1.1153494628016427</v>
      </c>
    </row>
    <row r="119" spans="1:3" x14ac:dyDescent="0.45">
      <c r="A119" s="1">
        <v>45454</v>
      </c>
      <c r="B119">
        <v>0.897780001163483</v>
      </c>
      <c r="C119">
        <v>1.1138586276192881</v>
      </c>
    </row>
    <row r="120" spans="1:3" x14ac:dyDescent="0.45">
      <c r="A120" s="1">
        <v>45455</v>
      </c>
      <c r="B120">
        <v>0.89425998926162698</v>
      </c>
      <c r="C120">
        <v>1.1182430300003476</v>
      </c>
    </row>
    <row r="121" spans="1:3" x14ac:dyDescent="0.45">
      <c r="A121" s="1">
        <v>45456</v>
      </c>
      <c r="B121">
        <v>0.89393001794815097</v>
      </c>
      <c r="C121">
        <v>1.1186558007027361</v>
      </c>
    </row>
    <row r="122" spans="1:3" x14ac:dyDescent="0.45">
      <c r="A122" s="1">
        <v>45459</v>
      </c>
      <c r="B122">
        <v>0.89073002338409402</v>
      </c>
      <c r="C122">
        <v>1.1226746306369728</v>
      </c>
    </row>
    <row r="123" spans="1:3" x14ac:dyDescent="0.45">
      <c r="A123" s="1">
        <v>45460</v>
      </c>
      <c r="B123">
        <v>0.888300001621246</v>
      </c>
      <c r="C123">
        <v>1.1257458045422595</v>
      </c>
    </row>
    <row r="124" spans="1:3" x14ac:dyDescent="0.45">
      <c r="A124" s="1">
        <v>45461</v>
      </c>
      <c r="B124">
        <v>0.88418000936508201</v>
      </c>
      <c r="C124">
        <v>1.1309914151057168</v>
      </c>
    </row>
    <row r="125" spans="1:3" x14ac:dyDescent="0.45">
      <c r="A125" s="1">
        <v>45462</v>
      </c>
      <c r="B125">
        <v>0.88429999351501498</v>
      </c>
      <c r="C125">
        <v>1.1308379592145961</v>
      </c>
    </row>
    <row r="126" spans="1:3" x14ac:dyDescent="0.45">
      <c r="A126" s="1">
        <v>45463</v>
      </c>
      <c r="B126">
        <v>0.89148998260498002</v>
      </c>
      <c r="C126">
        <v>1.1217175958365209</v>
      </c>
    </row>
    <row r="127" spans="1:3" x14ac:dyDescent="0.45">
      <c r="A127" s="1">
        <v>45466</v>
      </c>
      <c r="B127">
        <v>0.89410001039505005</v>
      </c>
      <c r="C127">
        <v>1.1184431141636593</v>
      </c>
    </row>
    <row r="128" spans="1:3" x14ac:dyDescent="0.45">
      <c r="A128" s="1">
        <v>45467</v>
      </c>
      <c r="B128">
        <v>0.89319002628326405</v>
      </c>
      <c r="C128">
        <v>1.1195825866542564</v>
      </c>
    </row>
    <row r="129" spans="1:3" x14ac:dyDescent="0.45">
      <c r="A129" s="1">
        <v>45468</v>
      </c>
      <c r="B129">
        <v>0.89520001411437999</v>
      </c>
      <c r="C129">
        <v>1.1170687938262585</v>
      </c>
    </row>
    <row r="130" spans="1:3" x14ac:dyDescent="0.45">
      <c r="A130" s="1">
        <v>45469</v>
      </c>
      <c r="B130">
        <v>0.89670002460479703</v>
      </c>
      <c r="C130">
        <v>1.1152001478317461</v>
      </c>
    </row>
    <row r="131" spans="1:3" x14ac:dyDescent="0.45">
      <c r="A131" s="1">
        <v>45470</v>
      </c>
      <c r="B131">
        <v>0.89851999282836903</v>
      </c>
      <c r="C131">
        <v>1.1129412901010598</v>
      </c>
    </row>
    <row r="132" spans="1:3" x14ac:dyDescent="0.45">
      <c r="A132" s="1">
        <v>45473</v>
      </c>
      <c r="B132">
        <v>0.90020000934600797</v>
      </c>
      <c r="C132">
        <v>1.1108642408552032</v>
      </c>
    </row>
    <row r="133" spans="1:3" x14ac:dyDescent="0.45">
      <c r="A133" s="1">
        <v>45474</v>
      </c>
      <c r="B133">
        <v>0.90315997600555398</v>
      </c>
      <c r="C133">
        <v>1.107223555701333</v>
      </c>
    </row>
    <row r="134" spans="1:3" x14ac:dyDescent="0.45">
      <c r="A134" s="1">
        <v>45475</v>
      </c>
      <c r="B134">
        <v>0.90368998050689697</v>
      </c>
      <c r="C134">
        <v>1.106574180936565</v>
      </c>
    </row>
    <row r="135" spans="1:3" x14ac:dyDescent="0.45">
      <c r="A135" s="1">
        <v>45476</v>
      </c>
      <c r="B135">
        <v>0.90075999498367298</v>
      </c>
      <c r="C135">
        <v>1.1101736373384632</v>
      </c>
    </row>
    <row r="136" spans="1:3" x14ac:dyDescent="0.45">
      <c r="A136" s="1">
        <v>45477</v>
      </c>
      <c r="B136">
        <v>0.90025001764297496</v>
      </c>
      <c r="C136">
        <v>1.1108025330765217</v>
      </c>
    </row>
    <row r="137" spans="1:3" x14ac:dyDescent="0.45">
      <c r="A137" s="1">
        <v>45480</v>
      </c>
      <c r="B137">
        <v>0.89522999525070202</v>
      </c>
      <c r="C137">
        <v>1.1170313833373713</v>
      </c>
    </row>
    <row r="138" spans="1:3" x14ac:dyDescent="0.45">
      <c r="A138" s="1">
        <v>45481</v>
      </c>
      <c r="B138">
        <v>0.89780998229980502</v>
      </c>
      <c r="C138">
        <v>1.1138214318339699</v>
      </c>
    </row>
    <row r="139" spans="1:3" x14ac:dyDescent="0.45">
      <c r="A139" s="1">
        <v>45482</v>
      </c>
      <c r="B139">
        <v>0.89740002155303999</v>
      </c>
      <c r="C139">
        <v>1.1143302607341157</v>
      </c>
    </row>
    <row r="140" spans="1:3" x14ac:dyDescent="0.45">
      <c r="A140" s="1">
        <v>45483</v>
      </c>
      <c r="B140">
        <v>0.89920002222061202</v>
      </c>
      <c r="C140">
        <v>1.1120996166464256</v>
      </c>
    </row>
    <row r="141" spans="1:3" x14ac:dyDescent="0.45">
      <c r="A141" s="1">
        <v>45484</v>
      </c>
      <c r="B141">
        <v>0.89603000879287698</v>
      </c>
      <c r="C141">
        <v>1.1160340504077428</v>
      </c>
    </row>
    <row r="142" spans="1:3" x14ac:dyDescent="0.45">
      <c r="A142" s="1">
        <v>45487</v>
      </c>
      <c r="B142">
        <v>0.89688998460769698</v>
      </c>
      <c r="C142">
        <v>1.114963950051693</v>
      </c>
    </row>
    <row r="143" spans="1:3" x14ac:dyDescent="0.45">
      <c r="A143" s="1">
        <v>45488</v>
      </c>
      <c r="B143">
        <v>0.89547002315521196</v>
      </c>
      <c r="C143">
        <v>1.1167319666117621</v>
      </c>
    </row>
    <row r="144" spans="1:3" x14ac:dyDescent="0.45">
      <c r="A144" s="1">
        <v>45489</v>
      </c>
      <c r="B144">
        <v>0.89322000741958596</v>
      </c>
      <c r="C144">
        <v>1.1195450076055615</v>
      </c>
    </row>
    <row r="145" spans="1:3" x14ac:dyDescent="0.45">
      <c r="A145" s="1">
        <v>45490</v>
      </c>
      <c r="B145">
        <v>0.88235002756118797</v>
      </c>
      <c r="C145">
        <v>1.1333370757226542</v>
      </c>
    </row>
    <row r="146" spans="1:3" x14ac:dyDescent="0.45">
      <c r="A146" s="1">
        <v>45491</v>
      </c>
      <c r="B146">
        <v>0.88730001449585005</v>
      </c>
      <c r="C146">
        <v>1.1270145200754722</v>
      </c>
    </row>
    <row r="147" spans="1:3" x14ac:dyDescent="0.45">
      <c r="A147" s="1">
        <v>45494</v>
      </c>
      <c r="B147">
        <v>0.88801002502441395</v>
      </c>
      <c r="C147">
        <v>1.1261134129341694</v>
      </c>
    </row>
    <row r="148" spans="1:3" x14ac:dyDescent="0.45">
      <c r="A148" s="1">
        <v>45495</v>
      </c>
      <c r="B148">
        <v>0.88950002193450906</v>
      </c>
      <c r="C148">
        <v>1.1242270661502318</v>
      </c>
    </row>
    <row r="149" spans="1:3" x14ac:dyDescent="0.45">
      <c r="A149" s="1">
        <v>45496</v>
      </c>
      <c r="B149">
        <v>0.89152002334594704</v>
      </c>
      <c r="C149">
        <v>1.1216797983369109</v>
      </c>
    </row>
    <row r="150" spans="1:3" x14ac:dyDescent="0.45">
      <c r="A150" s="1">
        <v>45497</v>
      </c>
      <c r="B150">
        <v>0.88502001762390103</v>
      </c>
      <c r="C150">
        <v>1.1299179454548349</v>
      </c>
    </row>
    <row r="151" spans="1:3" x14ac:dyDescent="0.45">
      <c r="A151" s="1">
        <v>45498</v>
      </c>
      <c r="B151">
        <v>0.88063997030258201</v>
      </c>
      <c r="C151">
        <v>1.1355378289908948</v>
      </c>
    </row>
    <row r="152" spans="1:3" x14ac:dyDescent="0.45">
      <c r="A152" s="1">
        <v>45501</v>
      </c>
      <c r="B152">
        <v>0.88429999351501498</v>
      </c>
      <c r="C152">
        <v>1.1308379592145961</v>
      </c>
    </row>
    <row r="153" spans="1:3" x14ac:dyDescent="0.45">
      <c r="A153" s="1">
        <v>45502</v>
      </c>
      <c r="B153">
        <v>0.886099994182587</v>
      </c>
      <c r="C153">
        <v>1.1285408041588849</v>
      </c>
    </row>
    <row r="154" spans="1:3" x14ac:dyDescent="0.45">
      <c r="A154" s="1">
        <v>45503</v>
      </c>
      <c r="B154">
        <v>0.882030010223389</v>
      </c>
      <c r="C154">
        <v>1.1337482720647261</v>
      </c>
    </row>
    <row r="155" spans="1:3" x14ac:dyDescent="0.45">
      <c r="A155" s="1">
        <v>45504</v>
      </c>
      <c r="B155">
        <v>0.87813997268676802</v>
      </c>
      <c r="C155">
        <v>1.1387706186980504</v>
      </c>
    </row>
    <row r="156" spans="1:3" x14ac:dyDescent="0.45">
      <c r="A156" s="1">
        <v>45505</v>
      </c>
      <c r="B156">
        <v>0.87290000915527299</v>
      </c>
      <c r="C156">
        <v>1.1456065866784957</v>
      </c>
    </row>
    <row r="157" spans="1:3" x14ac:dyDescent="0.45">
      <c r="A157" s="1">
        <v>45508</v>
      </c>
      <c r="B157">
        <v>0.85610002279281605</v>
      </c>
      <c r="C157">
        <v>1.1680878091064004</v>
      </c>
    </row>
    <row r="158" spans="1:3" x14ac:dyDescent="0.45">
      <c r="A158" s="1">
        <v>45509</v>
      </c>
      <c r="B158">
        <v>0.85483002662658703</v>
      </c>
      <c r="C158">
        <v>1.1698232032703586</v>
      </c>
    </row>
    <row r="159" spans="1:3" x14ac:dyDescent="0.45">
      <c r="A159" s="1">
        <v>45510</v>
      </c>
      <c r="B159">
        <v>0.852550029754639</v>
      </c>
      <c r="C159">
        <v>1.1729516920992855</v>
      </c>
    </row>
    <row r="160" spans="1:3" x14ac:dyDescent="0.45">
      <c r="A160" s="1">
        <v>45511</v>
      </c>
      <c r="B160">
        <v>0.85926997661590598</v>
      </c>
      <c r="C160">
        <v>1.1637785878872857</v>
      </c>
    </row>
    <row r="161" spans="1:3" x14ac:dyDescent="0.45">
      <c r="A161" s="1">
        <v>45512</v>
      </c>
      <c r="B161">
        <v>0.86685001850128196</v>
      </c>
      <c r="C161">
        <v>1.1536020980064399</v>
      </c>
    </row>
    <row r="162" spans="1:3" x14ac:dyDescent="0.45">
      <c r="A162" s="1">
        <v>45515</v>
      </c>
      <c r="B162">
        <v>0.86504000425338701</v>
      </c>
      <c r="C162">
        <v>1.1560159010947666</v>
      </c>
    </row>
    <row r="163" spans="1:3" x14ac:dyDescent="0.45">
      <c r="A163" s="1">
        <v>45516</v>
      </c>
      <c r="B163">
        <v>0.86473000049591098</v>
      </c>
      <c r="C163">
        <v>1.1564303301915204</v>
      </c>
    </row>
    <row r="164" spans="1:3" x14ac:dyDescent="0.45">
      <c r="A164" s="1">
        <v>45517</v>
      </c>
      <c r="B164">
        <v>0.86505001783371005</v>
      </c>
      <c r="C164">
        <v>1.1560025193736618</v>
      </c>
    </row>
    <row r="165" spans="1:3" x14ac:dyDescent="0.45">
      <c r="A165" s="1">
        <v>45518</v>
      </c>
      <c r="B165">
        <v>0.86480599641799905</v>
      </c>
      <c r="C165">
        <v>1.1563287074118016</v>
      </c>
    </row>
    <row r="166" spans="1:3" x14ac:dyDescent="0.45">
      <c r="A166" s="1">
        <v>45519</v>
      </c>
      <c r="B166">
        <v>0.87248998880386397</v>
      </c>
      <c r="C166">
        <v>1.1461449561970851</v>
      </c>
    </row>
    <row r="167" spans="1:3" x14ac:dyDescent="0.45">
      <c r="A167" s="1">
        <v>45522</v>
      </c>
      <c r="B167">
        <v>0.86757999658584595</v>
      </c>
      <c r="C167">
        <v>1.1526314621536473</v>
      </c>
    </row>
    <row r="168" spans="1:3" x14ac:dyDescent="0.45">
      <c r="A168" s="1">
        <v>45523</v>
      </c>
      <c r="B168">
        <v>0.86237001419067405</v>
      </c>
      <c r="C168">
        <v>1.1595950503201231</v>
      </c>
    </row>
    <row r="169" spans="1:3" x14ac:dyDescent="0.45">
      <c r="A169" s="1">
        <v>45524</v>
      </c>
      <c r="B169">
        <v>0.853559970855713</v>
      </c>
      <c r="C169">
        <v>1.1715638433670661</v>
      </c>
    </row>
    <row r="170" spans="1:3" x14ac:dyDescent="0.45">
      <c r="A170" s="1">
        <v>45525</v>
      </c>
      <c r="B170">
        <v>0.85110002756118797</v>
      </c>
      <c r="C170">
        <v>1.1749500265738237</v>
      </c>
    </row>
    <row r="171" spans="1:3" x14ac:dyDescent="0.45">
      <c r="A171" s="1">
        <v>45526</v>
      </c>
      <c r="B171">
        <v>0.85170000791549705</v>
      </c>
      <c r="C171">
        <v>1.1741223326361843</v>
      </c>
    </row>
    <row r="172" spans="1:3" x14ac:dyDescent="0.45">
      <c r="A172" s="1">
        <v>45529</v>
      </c>
      <c r="B172">
        <v>0.84732002019882202</v>
      </c>
      <c r="C172">
        <v>1.1801916349921153</v>
      </c>
    </row>
    <row r="173" spans="1:3" x14ac:dyDescent="0.45">
      <c r="A173" s="1">
        <v>45530</v>
      </c>
      <c r="B173">
        <v>0.84710001945495605</v>
      </c>
      <c r="C173">
        <v>1.1804981431158783</v>
      </c>
    </row>
    <row r="174" spans="1:3" x14ac:dyDescent="0.45">
      <c r="A174" s="1">
        <v>45531</v>
      </c>
      <c r="B174">
        <v>0.84171998500823997</v>
      </c>
      <c r="C174">
        <v>1.1880435510750176</v>
      </c>
    </row>
    <row r="175" spans="1:3" x14ac:dyDescent="0.45">
      <c r="A175" s="1">
        <v>45532</v>
      </c>
      <c r="B175">
        <v>0.84182000160217296</v>
      </c>
      <c r="C175">
        <v>1.1879023996778111</v>
      </c>
    </row>
    <row r="176" spans="1:3" x14ac:dyDescent="0.45">
      <c r="A176" s="1">
        <v>45533</v>
      </c>
      <c r="B176">
        <v>0.84693998098373402</v>
      </c>
      <c r="C176">
        <v>1.1807212110101171</v>
      </c>
    </row>
    <row r="177" spans="1:3" x14ac:dyDescent="0.45">
      <c r="A177" s="1">
        <v>45536</v>
      </c>
      <c r="B177">
        <v>0.850499987602234</v>
      </c>
      <c r="C177">
        <v>1.1757789706960995</v>
      </c>
    </row>
    <row r="178" spans="1:3" x14ac:dyDescent="0.45">
      <c r="A178" s="1">
        <v>45537</v>
      </c>
      <c r="B178">
        <v>0.85136997699737504</v>
      </c>
      <c r="C178">
        <v>1.1745774774990487</v>
      </c>
    </row>
    <row r="179" spans="1:3" x14ac:dyDescent="0.45">
      <c r="A179" s="1">
        <v>45538</v>
      </c>
      <c r="B179">
        <v>0.84992998838424705</v>
      </c>
      <c r="C179">
        <v>1.176567498107747</v>
      </c>
    </row>
    <row r="180" spans="1:3" x14ac:dyDescent="0.45">
      <c r="A180" s="1">
        <v>45539</v>
      </c>
      <c r="B180">
        <v>0.84604001045227095</v>
      </c>
      <c r="C180">
        <v>1.1819771968768074</v>
      </c>
    </row>
    <row r="181" spans="1:3" x14ac:dyDescent="0.45">
      <c r="A181" s="1">
        <v>45540</v>
      </c>
      <c r="B181">
        <v>0.84381002187728904</v>
      </c>
      <c r="C181">
        <v>1.1851008806167331</v>
      </c>
    </row>
    <row r="182" spans="1:3" x14ac:dyDescent="0.45">
      <c r="A182" s="1">
        <v>45543</v>
      </c>
      <c r="B182">
        <v>0.84394001960754395</v>
      </c>
      <c r="C182">
        <v>1.1849183315954472</v>
      </c>
    </row>
    <row r="183" spans="1:3" x14ac:dyDescent="0.45">
      <c r="A183" s="1">
        <v>45544</v>
      </c>
      <c r="B183">
        <v>0.84944999217987105</v>
      </c>
      <c r="C183">
        <v>1.1772323376374227</v>
      </c>
    </row>
    <row r="184" spans="1:3" x14ac:dyDescent="0.45">
      <c r="A184" s="1">
        <v>45545</v>
      </c>
      <c r="B184">
        <v>0.84662002325057995</v>
      </c>
      <c r="C184">
        <v>1.1811674334851199</v>
      </c>
    </row>
    <row r="185" spans="1:3" x14ac:dyDescent="0.45">
      <c r="A185" s="1">
        <v>45546</v>
      </c>
      <c r="B185">
        <v>0.85259997844696001</v>
      </c>
      <c r="C185">
        <v>1.1728829759314963</v>
      </c>
    </row>
    <row r="186" spans="1:3" x14ac:dyDescent="0.45">
      <c r="A186" s="1">
        <v>45547</v>
      </c>
      <c r="B186">
        <v>0.84987998008728005</v>
      </c>
      <c r="C186">
        <v>1.1766367292206401</v>
      </c>
    </row>
    <row r="187" spans="1:3" x14ac:dyDescent="0.45">
      <c r="A187" s="1">
        <v>45550</v>
      </c>
      <c r="B187">
        <v>0.84769999980926503</v>
      </c>
      <c r="C187">
        <v>1.1796626167571109</v>
      </c>
    </row>
    <row r="188" spans="1:3" x14ac:dyDescent="0.45">
      <c r="A188" s="1">
        <v>45551</v>
      </c>
      <c r="B188">
        <v>0.84457999467849698</v>
      </c>
      <c r="C188">
        <v>1.1840204673337855</v>
      </c>
    </row>
    <row r="189" spans="1:3" x14ac:dyDescent="0.45">
      <c r="A189" s="1">
        <v>45552</v>
      </c>
      <c r="B189">
        <v>0.84632998704910301</v>
      </c>
      <c r="C189">
        <v>1.1815722180501933</v>
      </c>
    </row>
    <row r="190" spans="1:3" x14ac:dyDescent="0.45">
      <c r="A190" s="1">
        <v>45553</v>
      </c>
      <c r="B190">
        <v>0.84729999303817705</v>
      </c>
      <c r="C190">
        <v>1.180219530528124</v>
      </c>
    </row>
    <row r="191" spans="1:3" x14ac:dyDescent="0.45">
      <c r="A191" s="1">
        <v>45554</v>
      </c>
      <c r="B191">
        <v>0.84777998924255404</v>
      </c>
      <c r="C191">
        <v>1.1795513136532585</v>
      </c>
    </row>
    <row r="192" spans="1:3" x14ac:dyDescent="0.45">
      <c r="A192" s="1">
        <v>45557</v>
      </c>
      <c r="B192">
        <v>0.85089999437332198</v>
      </c>
      <c r="C192">
        <v>1.175226238820801</v>
      </c>
    </row>
    <row r="193" spans="1:3" x14ac:dyDescent="0.45">
      <c r="A193" s="1">
        <v>45558</v>
      </c>
      <c r="B193">
        <v>0.84732002019882202</v>
      </c>
      <c r="C193">
        <v>1.1801916349921153</v>
      </c>
    </row>
    <row r="194" spans="1:3" x14ac:dyDescent="0.45">
      <c r="A194" s="1">
        <v>45559</v>
      </c>
      <c r="B194">
        <v>0.84150999784469604</v>
      </c>
      <c r="C194">
        <v>1.1883400108866609</v>
      </c>
    </row>
    <row r="195" spans="1:3" x14ac:dyDescent="0.45">
      <c r="A195" s="1">
        <v>45560</v>
      </c>
      <c r="B195">
        <v>0.85057002305984497</v>
      </c>
      <c r="C195">
        <v>1.1756821577165333</v>
      </c>
    </row>
    <row r="196" spans="1:3" x14ac:dyDescent="0.45">
      <c r="A196" s="1">
        <v>45561</v>
      </c>
      <c r="B196">
        <v>0.84623998403549205</v>
      </c>
      <c r="C196">
        <v>1.1816978857832592</v>
      </c>
    </row>
    <row r="197" spans="1:3" x14ac:dyDescent="0.45">
      <c r="A197" s="1">
        <v>45564</v>
      </c>
      <c r="B197">
        <v>0.84049999713897705</v>
      </c>
      <c r="C197">
        <v>1.189767999290843</v>
      </c>
    </row>
    <row r="198" spans="1:3" x14ac:dyDescent="0.45">
      <c r="A198" s="1">
        <v>45565</v>
      </c>
      <c r="B198">
        <v>0.84530997276306197</v>
      </c>
      <c r="C198">
        <v>1.182997991531205</v>
      </c>
    </row>
    <row r="199" spans="1:3" x14ac:dyDescent="0.45">
      <c r="A199" s="1">
        <v>45566</v>
      </c>
      <c r="B199">
        <v>0.84634000062942505</v>
      </c>
      <c r="C199">
        <v>1.181558238126873</v>
      </c>
    </row>
    <row r="200" spans="1:3" x14ac:dyDescent="0.45">
      <c r="A200" s="1">
        <v>45567</v>
      </c>
      <c r="B200">
        <v>0.84991002082824696</v>
      </c>
      <c r="C200">
        <v>1.1765951400661081</v>
      </c>
    </row>
    <row r="201" spans="1:3" x14ac:dyDescent="0.45">
      <c r="A201" s="1">
        <v>45568</v>
      </c>
      <c r="B201">
        <v>0.85180997848510698</v>
      </c>
      <c r="C201">
        <v>1.1739707508221964</v>
      </c>
    </row>
    <row r="202" spans="1:3" x14ac:dyDescent="0.45">
      <c r="A202" s="1">
        <v>45571</v>
      </c>
      <c r="B202">
        <v>0.85869002342224099</v>
      </c>
      <c r="C202">
        <v>1.1645645957485091</v>
      </c>
    </row>
    <row r="203" spans="1:3" x14ac:dyDescent="0.45">
      <c r="A203" s="1">
        <v>45572</v>
      </c>
      <c r="B203">
        <v>0.85457998514175404</v>
      </c>
      <c r="C203">
        <v>1.170165481741448</v>
      </c>
    </row>
    <row r="204" spans="1:3" x14ac:dyDescent="0.45">
      <c r="A204" s="1">
        <v>45573</v>
      </c>
      <c r="B204">
        <v>0.85740000009536699</v>
      </c>
      <c r="C204">
        <v>1.166316771505449</v>
      </c>
    </row>
    <row r="205" spans="1:3" x14ac:dyDescent="0.45">
      <c r="A205" s="1">
        <v>45574</v>
      </c>
      <c r="B205">
        <v>0.86046999692916903</v>
      </c>
      <c r="C205">
        <v>1.1621555702915654</v>
      </c>
    </row>
    <row r="206" spans="1:3" x14ac:dyDescent="0.45">
      <c r="A206" s="1">
        <v>45575</v>
      </c>
      <c r="B206">
        <v>0.85654997825622603</v>
      </c>
      <c r="C206">
        <v>1.1674741992706732</v>
      </c>
    </row>
    <row r="207" spans="1:3" x14ac:dyDescent="0.45">
      <c r="A207" s="1">
        <v>45578</v>
      </c>
      <c r="B207">
        <v>0.85829997062683105</v>
      </c>
      <c r="C207">
        <v>1.1650938299225189</v>
      </c>
    </row>
    <row r="208" spans="1:3" x14ac:dyDescent="0.45">
      <c r="A208" s="1">
        <v>45579</v>
      </c>
      <c r="B208">
        <v>0.86210000514984098</v>
      </c>
      <c r="C208">
        <v>1.1599582345741788</v>
      </c>
    </row>
    <row r="209" spans="1:3" x14ac:dyDescent="0.45">
      <c r="A209" s="1">
        <v>45580</v>
      </c>
      <c r="B209">
        <v>0.86254000663757302</v>
      </c>
      <c r="C209">
        <v>1.1593665132105411</v>
      </c>
    </row>
    <row r="210" spans="1:3" x14ac:dyDescent="0.45">
      <c r="A210" s="1">
        <v>45581</v>
      </c>
      <c r="B210">
        <v>0.86529999971389804</v>
      </c>
      <c r="C210">
        <v>1.1556685546407477</v>
      </c>
    </row>
    <row r="211" spans="1:3" x14ac:dyDescent="0.45">
      <c r="A211" s="1">
        <v>45582</v>
      </c>
      <c r="B211">
        <v>0.86593002080917403</v>
      </c>
      <c r="C211">
        <v>1.1548277296882992</v>
      </c>
    </row>
    <row r="212" spans="1:3" x14ac:dyDescent="0.45">
      <c r="A212" s="1">
        <v>45585</v>
      </c>
      <c r="B212">
        <v>0.86492997407913197</v>
      </c>
      <c r="C212">
        <v>1.1561629611283544</v>
      </c>
    </row>
    <row r="213" spans="1:3" x14ac:dyDescent="0.45">
      <c r="A213" s="1">
        <v>45586</v>
      </c>
      <c r="B213">
        <v>0.86540997028350797</v>
      </c>
      <c r="C213">
        <v>1.1555216999318836</v>
      </c>
    </row>
    <row r="214" spans="1:3" x14ac:dyDescent="0.45">
      <c r="A214" s="1">
        <v>45587</v>
      </c>
      <c r="B214">
        <v>0.86553001403808605</v>
      </c>
      <c r="C214">
        <v>1.1553614360922635</v>
      </c>
    </row>
    <row r="215" spans="1:3" x14ac:dyDescent="0.45">
      <c r="A215" s="1">
        <v>45588</v>
      </c>
      <c r="B215">
        <v>0.86673998832702603</v>
      </c>
      <c r="C215">
        <v>1.1537485445089377</v>
      </c>
    </row>
    <row r="216" spans="1:3" x14ac:dyDescent="0.45">
      <c r="A216" s="1">
        <v>45589</v>
      </c>
      <c r="B216">
        <v>0.86586999893188499</v>
      </c>
      <c r="C216">
        <v>1.1549077820383826</v>
      </c>
    </row>
    <row r="217" spans="1:3" x14ac:dyDescent="0.45">
      <c r="A217" s="1">
        <v>45593</v>
      </c>
      <c r="B217">
        <v>0.86845999956131004</v>
      </c>
      <c r="C217">
        <v>1.1514635107030093</v>
      </c>
    </row>
    <row r="218" spans="1:3" x14ac:dyDescent="0.45">
      <c r="A218" s="1">
        <v>45594</v>
      </c>
      <c r="B218">
        <v>0.86485999822616599</v>
      </c>
      <c r="C218">
        <v>1.1562565063143251</v>
      </c>
    </row>
    <row r="219" spans="1:3" x14ac:dyDescent="0.45">
      <c r="A219" s="1">
        <v>45595</v>
      </c>
      <c r="B219">
        <v>0.86721998453140303</v>
      </c>
      <c r="C219">
        <v>1.1531099580694555</v>
      </c>
    </row>
    <row r="220" spans="1:3" x14ac:dyDescent="0.45">
      <c r="A220" s="1">
        <v>45596</v>
      </c>
      <c r="B220">
        <v>0.86629998683929399</v>
      </c>
      <c r="C220">
        <v>1.1543345436821628</v>
      </c>
    </row>
    <row r="221" spans="1:3" x14ac:dyDescent="0.45">
      <c r="A221" s="1">
        <v>45597</v>
      </c>
      <c r="B221">
        <v>0.86353999376296997</v>
      </c>
      <c r="C221">
        <v>1.1580239562992221</v>
      </c>
    </row>
    <row r="222" spans="1:3" x14ac:dyDescent="0.45">
      <c r="A222" s="1">
        <v>45600</v>
      </c>
      <c r="B222">
        <v>0.86760002374649003</v>
      </c>
      <c r="C222">
        <v>1.1526048554975568</v>
      </c>
    </row>
    <row r="223" spans="1:3" x14ac:dyDescent="0.45">
      <c r="A223" s="1">
        <v>45601</v>
      </c>
      <c r="B223">
        <v>0.86417001485824596</v>
      </c>
      <c r="C223">
        <v>1.1571797016864036</v>
      </c>
    </row>
    <row r="224" spans="1:3" x14ac:dyDescent="0.45">
      <c r="A224" s="1">
        <v>45602</v>
      </c>
      <c r="B224">
        <v>0.862410008907318</v>
      </c>
      <c r="C224">
        <v>1.1595412734912596</v>
      </c>
    </row>
    <row r="225" spans="1:3" x14ac:dyDescent="0.45">
      <c r="A225" s="1">
        <v>45603</v>
      </c>
      <c r="B225">
        <v>0.87569999694824197</v>
      </c>
      <c r="C225">
        <v>1.1419435919663532</v>
      </c>
    </row>
    <row r="226" spans="1:3" x14ac:dyDescent="0.45">
      <c r="A226" s="1">
        <v>45604</v>
      </c>
      <c r="B226">
        <v>0.87278002500534102</v>
      </c>
      <c r="C226">
        <v>1.1457640772586202</v>
      </c>
    </row>
    <row r="227" spans="1:3" x14ac:dyDescent="0.45">
      <c r="A227" s="1">
        <v>45607</v>
      </c>
      <c r="B227">
        <v>0.87599998712539695</v>
      </c>
      <c r="C227">
        <v>1.141552528192963</v>
      </c>
    </row>
    <row r="228" spans="1:3" x14ac:dyDescent="0.45">
      <c r="A228" s="1">
        <v>45608</v>
      </c>
      <c r="B228">
        <v>0.88027000427246105</v>
      </c>
      <c r="C228">
        <v>1.1360150807666054</v>
      </c>
    </row>
    <row r="229" spans="1:3" x14ac:dyDescent="0.45">
      <c r="A229" s="1">
        <v>45609</v>
      </c>
      <c r="B229">
        <v>0.88216000795364402</v>
      </c>
      <c r="C229">
        <v>1.1335811995373839</v>
      </c>
    </row>
    <row r="230" spans="1:3" x14ac:dyDescent="0.45">
      <c r="A230" s="1">
        <v>45610</v>
      </c>
      <c r="B230">
        <v>0.88577002286911</v>
      </c>
      <c r="C230">
        <v>1.1289612136126328</v>
      </c>
    </row>
    <row r="231" spans="1:3" x14ac:dyDescent="0.45">
      <c r="A231" s="1">
        <v>45611</v>
      </c>
      <c r="B231">
        <v>0.89043998718261697</v>
      </c>
      <c r="C231">
        <v>1.123040310851307</v>
      </c>
    </row>
    <row r="232" spans="1:3" x14ac:dyDescent="0.45">
      <c r="A232" s="1">
        <v>45614</v>
      </c>
      <c r="B232">
        <v>0.88867002725601196</v>
      </c>
      <c r="C232">
        <v>1.1252770649728638</v>
      </c>
    </row>
    <row r="233" spans="1:3" x14ac:dyDescent="0.45">
      <c r="A233" s="1">
        <v>45615</v>
      </c>
      <c r="B233">
        <v>0.88319998979568504</v>
      </c>
      <c r="C233">
        <v>1.132246389893341</v>
      </c>
    </row>
    <row r="234" spans="1:3" x14ac:dyDescent="0.45">
      <c r="A234" s="1">
        <v>45616</v>
      </c>
      <c r="B234">
        <v>0.88207000494003296</v>
      </c>
      <c r="C234">
        <v>1.1336968657810607</v>
      </c>
    </row>
    <row r="235" spans="1:3" x14ac:dyDescent="0.45">
      <c r="A235" s="1">
        <v>45617</v>
      </c>
      <c r="B235">
        <v>0.88365000486373901</v>
      </c>
      <c r="C235">
        <v>1.131669772529682</v>
      </c>
    </row>
    <row r="236" spans="1:3" x14ac:dyDescent="0.45">
      <c r="A236" s="1">
        <v>45618</v>
      </c>
      <c r="B236">
        <v>0.88690000772476196</v>
      </c>
      <c r="C236">
        <v>1.1275228225168052</v>
      </c>
    </row>
    <row r="237" spans="1:3" x14ac:dyDescent="0.45">
      <c r="A237" s="1">
        <v>45621</v>
      </c>
      <c r="B237">
        <v>0.89047002792358398</v>
      </c>
      <c r="C237">
        <v>1.1230024241599914</v>
      </c>
    </row>
    <row r="238" spans="1:3" x14ac:dyDescent="0.45">
      <c r="A238" s="1">
        <v>45622</v>
      </c>
      <c r="B238">
        <v>0.88880002498626698</v>
      </c>
      <c r="C238">
        <v>1.1251124796215564</v>
      </c>
    </row>
    <row r="239" spans="1:3" x14ac:dyDescent="0.45">
      <c r="A239" s="1">
        <v>45623</v>
      </c>
      <c r="B239">
        <v>0.88626998662948597</v>
      </c>
      <c r="C239">
        <v>1.1283243425663472</v>
      </c>
    </row>
    <row r="240" spans="1:3" x14ac:dyDescent="0.45">
      <c r="A240" s="1">
        <v>45624</v>
      </c>
      <c r="B240">
        <v>0.88200002908706698</v>
      </c>
      <c r="C240">
        <v>1.1337868106819355</v>
      </c>
    </row>
    <row r="241" spans="1:3" x14ac:dyDescent="0.45">
      <c r="A241" s="1">
        <v>45625</v>
      </c>
      <c r="B241">
        <v>0.88234001398086503</v>
      </c>
      <c r="C241">
        <v>1.1333499378411809</v>
      </c>
    </row>
    <row r="242" spans="1:3" x14ac:dyDescent="0.45">
      <c r="A242" s="1">
        <v>45628</v>
      </c>
      <c r="B242">
        <v>0.88202697038650502</v>
      </c>
      <c r="C242">
        <v>1.1337521794393646</v>
      </c>
    </row>
    <row r="243" spans="1:3" x14ac:dyDescent="0.45">
      <c r="A243" s="1">
        <v>45629</v>
      </c>
      <c r="B243">
        <v>0.88628000020980802</v>
      </c>
      <c r="C243">
        <v>1.1283115942628414</v>
      </c>
    </row>
    <row r="244" spans="1:3" x14ac:dyDescent="0.45">
      <c r="A244" s="1">
        <v>45630</v>
      </c>
      <c r="B244">
        <v>0.88639998435974099</v>
      </c>
      <c r="C244">
        <v>1.1281588646713638</v>
      </c>
    </row>
    <row r="245" spans="1:3" x14ac:dyDescent="0.45">
      <c r="A245" s="1">
        <v>45631</v>
      </c>
      <c r="B245">
        <v>0.88375002145767201</v>
      </c>
      <c r="C245">
        <v>1.1315416981270148</v>
      </c>
    </row>
    <row r="246" spans="1:3" x14ac:dyDescent="0.45">
      <c r="A246" s="1">
        <v>45632</v>
      </c>
      <c r="B246">
        <v>0.87841999530792203</v>
      </c>
      <c r="C246">
        <v>1.1384076015362778</v>
      </c>
    </row>
    <row r="247" spans="1:3" x14ac:dyDescent="0.45">
      <c r="A247" s="1">
        <v>45635</v>
      </c>
      <c r="B247">
        <v>0.87866997718811002</v>
      </c>
      <c r="C247">
        <v>1.1380837242216539</v>
      </c>
    </row>
    <row r="248" spans="1:3" x14ac:dyDescent="0.45">
      <c r="A248" s="1">
        <v>45636</v>
      </c>
      <c r="B248">
        <v>0.878589987754822</v>
      </c>
      <c r="C248">
        <v>1.1381873387328636</v>
      </c>
    </row>
    <row r="249" spans="1:3" x14ac:dyDescent="0.45">
      <c r="A249" s="1">
        <v>45637</v>
      </c>
      <c r="B249">
        <v>0.88249999284744296</v>
      </c>
      <c r="C249">
        <v>1.1331444851046806</v>
      </c>
    </row>
    <row r="250" spans="1:3" x14ac:dyDescent="0.45">
      <c r="A250" s="1">
        <v>45638</v>
      </c>
      <c r="B250">
        <v>0.88321000337600697</v>
      </c>
      <c r="C250">
        <v>1.1322335528102847</v>
      </c>
    </row>
    <row r="251" spans="1:3" x14ac:dyDescent="0.45">
      <c r="A251" s="1">
        <v>45639</v>
      </c>
      <c r="B251">
        <v>0.89200997352600098</v>
      </c>
      <c r="C251">
        <v>1.1210636984776396</v>
      </c>
    </row>
    <row r="252" spans="1:3" x14ac:dyDescent="0.45">
      <c r="A252" s="1">
        <v>45642</v>
      </c>
      <c r="B252">
        <v>0.89174401760101296</v>
      </c>
      <c r="C252">
        <v>1.1213980472672185</v>
      </c>
    </row>
    <row r="253" spans="1:3" x14ac:dyDescent="0.45">
      <c r="A253" s="1">
        <v>45643</v>
      </c>
      <c r="B253">
        <v>0.89403998851776101</v>
      </c>
      <c r="C253">
        <v>1.1185182014709558</v>
      </c>
    </row>
    <row r="254" spans="1:3" x14ac:dyDescent="0.45">
      <c r="A254" s="1">
        <v>45644</v>
      </c>
      <c r="B254">
        <v>0.89248001575470004</v>
      </c>
      <c r="C254">
        <v>1.1204732681374145</v>
      </c>
    </row>
    <row r="255" spans="1:3" x14ac:dyDescent="0.45">
      <c r="A255" s="1">
        <v>45645</v>
      </c>
      <c r="B255">
        <v>0.901700019836426</v>
      </c>
      <c r="C255">
        <v>1.109016278142487</v>
      </c>
    </row>
    <row r="256" spans="1:3" x14ac:dyDescent="0.45">
      <c r="A256" s="1">
        <v>45646</v>
      </c>
      <c r="B256">
        <v>0.89898997545242298</v>
      </c>
      <c r="C256">
        <v>1.1123594559513781</v>
      </c>
    </row>
    <row r="257" spans="1:3" x14ac:dyDescent="0.45">
      <c r="A257" s="1">
        <v>45649</v>
      </c>
      <c r="B257">
        <v>0.89305001497268699</v>
      </c>
      <c r="C257">
        <v>1.1197581134698082</v>
      </c>
    </row>
    <row r="258" spans="1:3" x14ac:dyDescent="0.45">
      <c r="A258" s="1">
        <v>45650</v>
      </c>
      <c r="B258">
        <v>0.89846998453140303</v>
      </c>
      <c r="C258">
        <v>1.1130032357414255</v>
      </c>
    </row>
    <row r="259" spans="1:3" x14ac:dyDescent="0.45">
      <c r="A259" s="1">
        <v>45651</v>
      </c>
      <c r="B259">
        <v>0.90030002593994096</v>
      </c>
      <c r="C259">
        <v>1.1107408321531138</v>
      </c>
    </row>
    <row r="260" spans="1:3" x14ac:dyDescent="0.45">
      <c r="A260" s="1">
        <v>45652</v>
      </c>
      <c r="B260">
        <v>0.89942002296447798</v>
      </c>
      <c r="C260">
        <v>1.1118275938576634</v>
      </c>
    </row>
    <row r="261" spans="1:3" x14ac:dyDescent="0.45">
      <c r="A261" s="1">
        <v>45653</v>
      </c>
      <c r="B261">
        <v>0.89889997243881203</v>
      </c>
      <c r="C261">
        <v>1.1124708317510488</v>
      </c>
    </row>
    <row r="262" spans="1:3" x14ac:dyDescent="0.45">
      <c r="A262" s="1">
        <v>45656</v>
      </c>
      <c r="B262">
        <v>0.90183997154235795</v>
      </c>
      <c r="C262">
        <v>1.1088441758572369</v>
      </c>
    </row>
    <row r="263" spans="1:3" x14ac:dyDescent="0.45">
      <c r="A263" s="1">
        <v>45657</v>
      </c>
      <c r="B263">
        <v>0.90324002504348799</v>
      </c>
      <c r="C263">
        <v>1.1071254287605925</v>
      </c>
    </row>
    <row r="264" spans="1:3" x14ac:dyDescent="0.45">
      <c r="A264" s="1">
        <v>45659</v>
      </c>
      <c r="B264">
        <v>0.90775001049041704</v>
      </c>
      <c r="C264">
        <v>1.1016248839917329</v>
      </c>
    </row>
    <row r="265" spans="1:3" x14ac:dyDescent="0.45">
      <c r="A265" s="1">
        <v>45660</v>
      </c>
      <c r="B265">
        <v>0.91201001405715898</v>
      </c>
      <c r="C265">
        <v>1.0964791883714189</v>
      </c>
    </row>
    <row r="266" spans="1:3" x14ac:dyDescent="0.45">
      <c r="A266" s="1">
        <v>45663</v>
      </c>
      <c r="B266">
        <v>0.909309983253479</v>
      </c>
      <c r="C266">
        <v>1.0997349841272339</v>
      </c>
    </row>
    <row r="267" spans="1:3" x14ac:dyDescent="0.45">
      <c r="A267" s="1">
        <v>45664</v>
      </c>
      <c r="B267">
        <v>0.90504002571106001</v>
      </c>
      <c r="C267">
        <v>1.1049235079015793</v>
      </c>
    </row>
    <row r="268" spans="1:3" x14ac:dyDescent="0.45">
      <c r="A268" s="1">
        <v>45665</v>
      </c>
      <c r="B268">
        <v>0.90944999456405595</v>
      </c>
      <c r="C268">
        <v>1.0995656781320331</v>
      </c>
    </row>
    <row r="269" spans="1:3" x14ac:dyDescent="0.45">
      <c r="A269" s="1">
        <v>45666</v>
      </c>
      <c r="B269">
        <v>0.91095000505447399</v>
      </c>
      <c r="C269">
        <v>1.0977550847482578</v>
      </c>
    </row>
    <row r="270" spans="1:3" x14ac:dyDescent="0.45">
      <c r="A270" s="1">
        <v>45667</v>
      </c>
      <c r="B270">
        <v>0.91206997632980302</v>
      </c>
      <c r="C270">
        <v>1.0964071024725865</v>
      </c>
    </row>
    <row r="271" spans="1:3" x14ac:dyDescent="0.45">
      <c r="A271" s="1">
        <v>45670</v>
      </c>
      <c r="B271">
        <v>0.91676998138427701</v>
      </c>
      <c r="C271">
        <v>1.0907861517128319</v>
      </c>
    </row>
    <row r="272" spans="1:3" x14ac:dyDescent="0.45">
      <c r="A272" s="1">
        <v>45671</v>
      </c>
      <c r="B272">
        <v>0.91578000783920299</v>
      </c>
      <c r="C272">
        <v>1.0919653098340893</v>
      </c>
    </row>
    <row r="273" spans="1:3" x14ac:dyDescent="0.45">
      <c r="A273" s="1">
        <v>45672</v>
      </c>
      <c r="B273">
        <v>0.91246002912521396</v>
      </c>
      <c r="C273">
        <v>1.0959384171147877</v>
      </c>
    </row>
    <row r="274" spans="1:3" x14ac:dyDescent="0.45">
      <c r="A274" s="1">
        <v>45673</v>
      </c>
      <c r="B274">
        <v>0.91211998462677002</v>
      </c>
      <c r="C274">
        <v>1.0963469903679279</v>
      </c>
    </row>
    <row r="275" spans="1:3" x14ac:dyDescent="0.45">
      <c r="A275" s="1">
        <v>45674</v>
      </c>
      <c r="B275">
        <v>0.91117000579833995</v>
      </c>
      <c r="C275">
        <v>1.0974900332938746</v>
      </c>
    </row>
    <row r="276" spans="1:3" x14ac:dyDescent="0.45">
      <c r="A276" s="1">
        <v>45677</v>
      </c>
      <c r="B276">
        <v>0.91460001468658403</v>
      </c>
      <c r="C276">
        <v>1.0933741350777049</v>
      </c>
    </row>
    <row r="277" spans="1:3" x14ac:dyDescent="0.45">
      <c r="A277" s="1">
        <v>45678</v>
      </c>
      <c r="B277">
        <v>0.90605998039245605</v>
      </c>
      <c r="C277">
        <v>1.1036796918972784</v>
      </c>
    </row>
    <row r="278" spans="1:3" x14ac:dyDescent="0.45">
      <c r="A278" s="1">
        <v>45679</v>
      </c>
      <c r="B278">
        <v>0.90671002864837602</v>
      </c>
      <c r="C278">
        <v>1.1028884300427233</v>
      </c>
    </row>
    <row r="279" spans="1:3" x14ac:dyDescent="0.45">
      <c r="A279" s="1">
        <v>45680</v>
      </c>
      <c r="B279">
        <v>0.90631002187728904</v>
      </c>
      <c r="C279">
        <v>1.1033751981784841</v>
      </c>
    </row>
    <row r="280" spans="1:3" x14ac:dyDescent="0.45">
      <c r="A280" s="1">
        <v>45681</v>
      </c>
      <c r="B280">
        <v>0.907490015029907</v>
      </c>
      <c r="C280">
        <v>1.1019404990004702</v>
      </c>
    </row>
    <row r="281" spans="1:3" x14ac:dyDescent="0.45">
      <c r="A281" s="1">
        <v>45684</v>
      </c>
      <c r="B281">
        <v>0.90684002637863204</v>
      </c>
      <c r="C281">
        <v>1.1027303282954903</v>
      </c>
    </row>
    <row r="282" spans="1:3" x14ac:dyDescent="0.45">
      <c r="A282" s="1">
        <v>45685</v>
      </c>
      <c r="B282">
        <v>0.90400999784469604</v>
      </c>
      <c r="C282">
        <v>1.1061824563712341</v>
      </c>
    </row>
    <row r="283" spans="1:3" x14ac:dyDescent="0.45">
      <c r="A283" s="1">
        <v>45686</v>
      </c>
      <c r="B283">
        <v>0.90412998199462902</v>
      </c>
      <c r="C283">
        <v>1.1060356584944449</v>
      </c>
    </row>
    <row r="284" spans="1:3" x14ac:dyDescent="0.45">
      <c r="A284" s="1">
        <v>45687</v>
      </c>
      <c r="B284">
        <v>0.90627002716064498</v>
      </c>
      <c r="C284">
        <v>1.1034238913682406</v>
      </c>
    </row>
    <row r="285" spans="1:3" x14ac:dyDescent="0.45">
      <c r="A285" s="1">
        <v>45688</v>
      </c>
      <c r="B285">
        <v>0.90936899185180697</v>
      </c>
      <c r="C285">
        <v>1.0996636227540981</v>
      </c>
    </row>
    <row r="286" spans="1:3" x14ac:dyDescent="0.45">
      <c r="A286" s="1">
        <v>45691</v>
      </c>
      <c r="B286">
        <v>0.91522997617721602</v>
      </c>
      <c r="C286">
        <v>1.0926215552694811</v>
      </c>
    </row>
    <row r="287" spans="1:3" x14ac:dyDescent="0.45">
      <c r="A287" s="1">
        <v>45692</v>
      </c>
      <c r="B287">
        <v>0.911610007286072</v>
      </c>
      <c r="C287">
        <v>1.0969603141776287</v>
      </c>
    </row>
    <row r="288" spans="1:3" x14ac:dyDescent="0.45">
      <c r="A288" s="1">
        <v>45693</v>
      </c>
      <c r="B288">
        <v>0.90523999929428101</v>
      </c>
      <c r="C288">
        <v>1.1046794228929271</v>
      </c>
    </row>
    <row r="289" spans="1:3" x14ac:dyDescent="0.45">
      <c r="A289" s="1">
        <v>45694</v>
      </c>
      <c r="B289">
        <v>0.90132999420166005</v>
      </c>
      <c r="C289">
        <v>1.1094715658339269</v>
      </c>
    </row>
    <row r="290" spans="1:3" x14ac:dyDescent="0.45">
      <c r="A290" s="1">
        <v>45695</v>
      </c>
      <c r="B290">
        <v>0.90509998798370395</v>
      </c>
      <c r="C290">
        <v>1.1048503074535503</v>
      </c>
    </row>
    <row r="291" spans="1:3" x14ac:dyDescent="0.45">
      <c r="A291" s="1">
        <v>45698</v>
      </c>
      <c r="B291">
        <v>0.91074001789092995</v>
      </c>
      <c r="C291">
        <v>1.098008191531735</v>
      </c>
    </row>
    <row r="292" spans="1:3" x14ac:dyDescent="0.45">
      <c r="A292" s="1">
        <v>45699</v>
      </c>
      <c r="B292">
        <v>0.91132998466491699</v>
      </c>
      <c r="C292">
        <v>1.0972973750750512</v>
      </c>
    </row>
    <row r="293" spans="1:3" x14ac:dyDescent="0.45">
      <c r="A293" s="1">
        <v>45700</v>
      </c>
      <c r="B293">
        <v>0.91298997402191195</v>
      </c>
      <c r="C293">
        <v>1.0953022798210923</v>
      </c>
    </row>
    <row r="294" spans="1:3" x14ac:dyDescent="0.45">
      <c r="A294" s="1">
        <v>45701</v>
      </c>
      <c r="B294">
        <v>0.91339999437332198</v>
      </c>
      <c r="C294">
        <v>1.0948106045107804</v>
      </c>
    </row>
    <row r="295" spans="1:3" x14ac:dyDescent="0.45">
      <c r="A295" s="1">
        <v>45702</v>
      </c>
      <c r="B295">
        <v>0.90324997901916504</v>
      </c>
      <c r="C295">
        <v>1.1071132280411402</v>
      </c>
    </row>
    <row r="296" spans="1:3" x14ac:dyDescent="0.45">
      <c r="A296" s="1">
        <v>45705</v>
      </c>
      <c r="B296">
        <v>0.89982998371124301</v>
      </c>
      <c r="C296">
        <v>1.1113210474223336</v>
      </c>
    </row>
    <row r="297" spans="1:3" x14ac:dyDescent="0.45">
      <c r="A297" s="1">
        <v>45706</v>
      </c>
      <c r="B297">
        <v>0.90072000026702903</v>
      </c>
      <c r="C297">
        <v>1.1102229324357606</v>
      </c>
    </row>
    <row r="298" spans="1:3" x14ac:dyDescent="0.45">
      <c r="A298" s="1">
        <v>45707</v>
      </c>
      <c r="B298">
        <v>0.90359997749328602</v>
      </c>
      <c r="C298">
        <v>1.10668440118175</v>
      </c>
    </row>
    <row r="299" spans="1:3" x14ac:dyDescent="0.45">
      <c r="A299" s="1">
        <v>45708</v>
      </c>
      <c r="B299">
        <v>0.90456002950668302</v>
      </c>
      <c r="C299">
        <v>1.1055098250863094</v>
      </c>
    </row>
    <row r="300" spans="1:3" x14ac:dyDescent="0.45">
      <c r="A300" s="1">
        <v>45709</v>
      </c>
      <c r="B300">
        <v>0.89806002378463701</v>
      </c>
      <c r="C300">
        <v>1.1135113171898732</v>
      </c>
    </row>
    <row r="301" spans="1:3" x14ac:dyDescent="0.45">
      <c r="A301" s="1">
        <v>45712</v>
      </c>
      <c r="B301">
        <v>0.89845001697540305</v>
      </c>
      <c r="C301">
        <v>1.1130279716243547</v>
      </c>
    </row>
    <row r="302" spans="1:3" x14ac:dyDescent="0.45">
      <c r="A302" s="1">
        <v>45713</v>
      </c>
      <c r="B302">
        <v>0.897300004959106</v>
      </c>
      <c r="C302">
        <v>1.114454468375462</v>
      </c>
    </row>
    <row r="303" spans="1:3" x14ac:dyDescent="0.45">
      <c r="A303" s="1">
        <v>45714</v>
      </c>
      <c r="B303">
        <v>0.89240002632141102</v>
      </c>
      <c r="C303">
        <v>1.1205737007002678</v>
      </c>
    </row>
    <row r="304" spans="1:3" x14ac:dyDescent="0.45">
      <c r="A304" s="1">
        <v>45715</v>
      </c>
      <c r="B304">
        <v>0.89429998397827104</v>
      </c>
      <c r="C304">
        <v>1.1181930201446779</v>
      </c>
    </row>
    <row r="305" spans="1:3" x14ac:dyDescent="0.45">
      <c r="A305" s="1">
        <v>45716</v>
      </c>
      <c r="B305">
        <v>0.89991998672485396</v>
      </c>
      <c r="C305">
        <v>1.1112099017151233</v>
      </c>
    </row>
    <row r="306" spans="1:3" x14ac:dyDescent="0.45">
      <c r="A306" s="1">
        <v>45719</v>
      </c>
      <c r="B306">
        <v>0.90257000923156705</v>
      </c>
      <c r="C306">
        <v>1.1079472946939408</v>
      </c>
    </row>
    <row r="307" spans="1:3" x14ac:dyDescent="0.45">
      <c r="A307" s="1">
        <v>45720</v>
      </c>
      <c r="B307">
        <v>0.89660000801086404</v>
      </c>
      <c r="C307">
        <v>1.1153245494816939</v>
      </c>
    </row>
    <row r="308" spans="1:3" x14ac:dyDescent="0.45">
      <c r="A308" s="1">
        <v>45721</v>
      </c>
      <c r="B308">
        <v>0.88963997364044201</v>
      </c>
      <c r="C308">
        <v>1.1240502109049353</v>
      </c>
    </row>
    <row r="309" spans="1:3" x14ac:dyDescent="0.45">
      <c r="A309" s="1">
        <v>45722</v>
      </c>
      <c r="B309">
        <v>0.89069002866744995</v>
      </c>
      <c r="C309">
        <v>1.1227250421744221</v>
      </c>
    </row>
    <row r="310" spans="1:3" x14ac:dyDescent="0.45">
      <c r="A310" s="1">
        <v>45723</v>
      </c>
      <c r="B310">
        <v>0.88331997394561801</v>
      </c>
      <c r="C310">
        <v>1.1320925932798678</v>
      </c>
    </row>
    <row r="311" spans="1:3" x14ac:dyDescent="0.45">
      <c r="A311" s="1">
        <v>45726</v>
      </c>
      <c r="B311">
        <v>0.87734001874923695</v>
      </c>
      <c r="C311">
        <v>1.1398089436586181</v>
      </c>
    </row>
    <row r="312" spans="1:3" x14ac:dyDescent="0.45">
      <c r="A312" s="1">
        <v>45727</v>
      </c>
      <c r="B312">
        <v>0.879980027675629</v>
      </c>
      <c r="C312">
        <v>1.1363894276571147</v>
      </c>
    </row>
    <row r="313" spans="1:3" x14ac:dyDescent="0.45">
      <c r="A313" s="1">
        <v>45728</v>
      </c>
      <c r="B313">
        <v>0.88344001770019498</v>
      </c>
      <c r="C313">
        <v>1.1319387620715196</v>
      </c>
    </row>
    <row r="314" spans="1:3" x14ac:dyDescent="0.45">
      <c r="A314" s="1">
        <v>45729</v>
      </c>
      <c r="B314">
        <v>0.88177001476287797</v>
      </c>
      <c r="C314">
        <v>1.1340825649065827</v>
      </c>
    </row>
    <row r="315" spans="1:3" x14ac:dyDescent="0.45">
      <c r="A315" s="1">
        <v>45730</v>
      </c>
      <c r="B315">
        <v>0.88261997699737504</v>
      </c>
      <c r="C315">
        <v>1.1329904444288077</v>
      </c>
    </row>
    <row r="316" spans="1:3" x14ac:dyDescent="0.45">
      <c r="A316" s="1">
        <v>45733</v>
      </c>
      <c r="B316">
        <v>0.88409000635147095</v>
      </c>
      <c r="C316">
        <v>1.1311065534230786</v>
      </c>
    </row>
    <row r="317" spans="1:3" x14ac:dyDescent="0.45">
      <c r="A317" s="1">
        <v>45734</v>
      </c>
      <c r="B317">
        <v>0.88120198249816895</v>
      </c>
      <c r="C317">
        <v>1.1348136067114192</v>
      </c>
    </row>
    <row r="318" spans="1:3" x14ac:dyDescent="0.45">
      <c r="A318" s="1">
        <v>45735</v>
      </c>
      <c r="B318">
        <v>0.876744985580444</v>
      </c>
      <c r="C318">
        <v>1.1405825142392525</v>
      </c>
    </row>
    <row r="319" spans="1:3" x14ac:dyDescent="0.45">
      <c r="A319" s="1">
        <v>45736</v>
      </c>
      <c r="B319">
        <v>0.87639999389648404</v>
      </c>
      <c r="C319">
        <v>1.1410315004156824</v>
      </c>
    </row>
    <row r="320" spans="1:3" x14ac:dyDescent="0.45">
      <c r="A320" s="1">
        <v>45737</v>
      </c>
      <c r="B320">
        <v>0.88137698173522905</v>
      </c>
      <c r="C320">
        <v>1.1345882871041508</v>
      </c>
    </row>
    <row r="321" spans="1:3" x14ac:dyDescent="0.45">
      <c r="A321" s="1">
        <v>45740</v>
      </c>
      <c r="B321">
        <v>0.88292002677917503</v>
      </c>
      <c r="C321">
        <v>1.132605411214789</v>
      </c>
    </row>
    <row r="322" spans="1:3" x14ac:dyDescent="0.45">
      <c r="A322" s="1">
        <v>45741</v>
      </c>
      <c r="B322">
        <v>0.88269001245498702</v>
      </c>
      <c r="C322">
        <v>1.1329005493318587</v>
      </c>
    </row>
    <row r="323" spans="1:3" x14ac:dyDescent="0.45">
      <c r="A323" s="1">
        <v>45742</v>
      </c>
      <c r="B323">
        <v>0.88265001773834195</v>
      </c>
      <c r="C323">
        <v>1.1329518834230012</v>
      </c>
    </row>
    <row r="324" spans="1:3" x14ac:dyDescent="0.45">
      <c r="A324" s="1">
        <v>45743</v>
      </c>
      <c r="B324">
        <v>0.88415998220443703</v>
      </c>
      <c r="C324">
        <v>1.1310170332599132</v>
      </c>
    </row>
    <row r="325" spans="1:3" x14ac:dyDescent="0.45">
      <c r="A325" s="1">
        <v>45744</v>
      </c>
      <c r="B325">
        <v>0.88139998912811302</v>
      </c>
      <c r="C325">
        <v>1.1345586706770974</v>
      </c>
    </row>
    <row r="326" spans="1:3" x14ac:dyDescent="0.45">
      <c r="A326" s="1">
        <v>45746</v>
      </c>
      <c r="B326">
        <v>0.88085001707077004</v>
      </c>
      <c r="C326">
        <v>1.1352670495772461</v>
      </c>
    </row>
    <row r="327" spans="1:3" x14ac:dyDescent="0.45">
      <c r="A327" s="1">
        <v>45747</v>
      </c>
      <c r="B327">
        <v>0.88381999731063798</v>
      </c>
      <c r="C327">
        <v>1.1314521090752465</v>
      </c>
    </row>
    <row r="328" spans="1:3" x14ac:dyDescent="0.45">
      <c r="A328" s="1">
        <v>45748</v>
      </c>
      <c r="B328">
        <v>0.88340002298355103</v>
      </c>
      <c r="C328">
        <v>1.1319900090365065</v>
      </c>
    </row>
    <row r="329" spans="1:3" x14ac:dyDescent="0.45">
      <c r="A329" s="1">
        <v>45749</v>
      </c>
      <c r="B329">
        <v>0.87678998708724998</v>
      </c>
      <c r="C329">
        <v>1.1405239735025501</v>
      </c>
    </row>
    <row r="330" spans="1:3" x14ac:dyDescent="0.45">
      <c r="A330" s="1">
        <v>45750</v>
      </c>
      <c r="B330">
        <v>0.85921001434326205</v>
      </c>
      <c r="C330">
        <v>1.1638598052937628</v>
      </c>
    </row>
    <row r="331" spans="1:3" x14ac:dyDescent="0.45">
      <c r="A331" s="1">
        <v>45753</v>
      </c>
      <c r="B331">
        <v>0.85161000490188599</v>
      </c>
      <c r="C331">
        <v>1.1742464205962564</v>
      </c>
    </row>
    <row r="332" spans="1:3" x14ac:dyDescent="0.45">
      <c r="A332" s="1">
        <v>45754</v>
      </c>
      <c r="B332">
        <v>0.85970997810363803</v>
      </c>
      <c r="C332">
        <v>1.1631829634056545</v>
      </c>
    </row>
    <row r="333" spans="1:3" x14ac:dyDescent="0.45">
      <c r="A333" s="1">
        <v>45755</v>
      </c>
      <c r="B333">
        <v>0.84565997123718295</v>
      </c>
      <c r="C333">
        <v>1.1825083769035689</v>
      </c>
    </row>
    <row r="334" spans="1:3" x14ac:dyDescent="0.45">
      <c r="A334" s="1">
        <v>45756</v>
      </c>
      <c r="B334">
        <v>0.85544997453689597</v>
      </c>
      <c r="C334">
        <v>1.168975427863397</v>
      </c>
    </row>
    <row r="335" spans="1:3" x14ac:dyDescent="0.45">
      <c r="A335" s="1">
        <v>45757</v>
      </c>
      <c r="B335">
        <v>0.82076001167297397</v>
      </c>
      <c r="C335">
        <v>1.2183829448046293</v>
      </c>
    </row>
    <row r="336" spans="1:3" x14ac:dyDescent="0.45">
      <c r="A336" s="1">
        <v>45760</v>
      </c>
      <c r="B336">
        <v>0.81805998086929299</v>
      </c>
      <c r="C336">
        <v>1.2224042532154824</v>
      </c>
    </row>
    <row r="337" spans="1:3" x14ac:dyDescent="0.45">
      <c r="A337" s="1">
        <v>45761</v>
      </c>
      <c r="B337">
        <v>0.81595999002456698</v>
      </c>
      <c r="C337">
        <v>1.2255502870549964</v>
      </c>
    </row>
    <row r="338" spans="1:3" x14ac:dyDescent="0.45">
      <c r="A338" s="1">
        <v>45762</v>
      </c>
      <c r="B338">
        <v>0.82077002525329601</v>
      </c>
      <c r="C338">
        <v>1.2183680802565764</v>
      </c>
    </row>
    <row r="339" spans="1:3" x14ac:dyDescent="0.45">
      <c r="A339" s="1">
        <v>45763</v>
      </c>
      <c r="B339">
        <v>0.81375002861022905</v>
      </c>
      <c r="C339">
        <v>1.228878605027959</v>
      </c>
    </row>
    <row r="340" spans="1:3" x14ac:dyDescent="0.45">
      <c r="A340" s="1">
        <v>45768</v>
      </c>
      <c r="B340">
        <v>0.80905002355575595</v>
      </c>
      <c r="C340">
        <v>1.2360175154621755</v>
      </c>
    </row>
    <row r="341" spans="1:3" x14ac:dyDescent="0.45">
      <c r="A341" s="1">
        <v>45769</v>
      </c>
      <c r="B341">
        <v>0.82607001066207897</v>
      </c>
      <c r="C341">
        <v>1.2105511483203699</v>
      </c>
    </row>
    <row r="342" spans="1:3" x14ac:dyDescent="0.45">
      <c r="A342" s="1">
        <v>45770</v>
      </c>
      <c r="B342">
        <v>0.82980000972747803</v>
      </c>
      <c r="C342">
        <v>1.2051096508524011</v>
      </c>
    </row>
    <row r="343" spans="1:3" x14ac:dyDescent="0.45">
      <c r="A343" s="1">
        <v>45771</v>
      </c>
      <c r="B343">
        <v>0.82874000072479204</v>
      </c>
      <c r="C343">
        <v>1.2066510595909803</v>
      </c>
    </row>
    <row r="344" spans="1:3" x14ac:dyDescent="0.45">
      <c r="A344" s="1">
        <v>45774</v>
      </c>
      <c r="B344">
        <v>0.82840001583099399</v>
      </c>
      <c r="C344">
        <v>1.2071462830633444</v>
      </c>
    </row>
    <row r="345" spans="1:3" x14ac:dyDescent="0.45">
      <c r="A345" s="1">
        <v>45775</v>
      </c>
      <c r="B345">
        <v>0.82118999958038297</v>
      </c>
      <c r="C345">
        <v>1.2177449804685718</v>
      </c>
    </row>
    <row r="346" spans="1:3" x14ac:dyDescent="0.45">
      <c r="A346" s="1">
        <v>45776</v>
      </c>
      <c r="B346">
        <v>0.82341998815536499</v>
      </c>
      <c r="C346">
        <v>1.2144470797219917</v>
      </c>
    </row>
    <row r="347" spans="1:3" x14ac:dyDescent="0.45">
      <c r="A347" s="1">
        <v>45777</v>
      </c>
      <c r="B347">
        <v>0.82595998048782304</v>
      </c>
      <c r="C347">
        <v>1.2107124117676822</v>
      </c>
    </row>
    <row r="348" spans="1:3" x14ac:dyDescent="0.45">
      <c r="A348" s="1">
        <v>45778</v>
      </c>
      <c r="B348">
        <v>0.82898002862930298</v>
      </c>
      <c r="C348">
        <v>1.206301678525928</v>
      </c>
    </row>
    <row r="349" spans="1:3" x14ac:dyDescent="0.45">
      <c r="A349" s="1">
        <v>45781</v>
      </c>
      <c r="B349">
        <v>0.82410001754760698</v>
      </c>
      <c r="C349">
        <v>1.2134449444326478</v>
      </c>
    </row>
    <row r="350" spans="1:3" x14ac:dyDescent="0.45">
      <c r="A350" s="1">
        <v>45782</v>
      </c>
      <c r="B350">
        <v>0.82179099321365401</v>
      </c>
      <c r="C350">
        <v>1.216854417069541</v>
      </c>
    </row>
    <row r="351" spans="1:3" x14ac:dyDescent="0.45">
      <c r="A351" s="1">
        <v>45783</v>
      </c>
      <c r="B351">
        <v>0.82563000917434703</v>
      </c>
      <c r="C351">
        <v>1.211196285125377</v>
      </c>
    </row>
    <row r="352" spans="1:3" x14ac:dyDescent="0.45">
      <c r="A352" s="1">
        <v>45784</v>
      </c>
      <c r="B352">
        <v>0.82394999265670799</v>
      </c>
      <c r="C352">
        <v>1.2136658886004041</v>
      </c>
    </row>
    <row r="353" spans="1:3" x14ac:dyDescent="0.45">
      <c r="A353" s="1">
        <v>45785</v>
      </c>
      <c r="B353">
        <v>0.83179998397827104</v>
      </c>
      <c r="C353">
        <v>1.2022120933656124</v>
      </c>
    </row>
    <row r="354" spans="1:3" x14ac:dyDescent="0.45">
      <c r="A354" s="1">
        <v>45788</v>
      </c>
      <c r="B354">
        <v>0.83372998237609897</v>
      </c>
      <c r="C354">
        <v>1.1994290971161163</v>
      </c>
    </row>
    <row r="355" spans="1:3" x14ac:dyDescent="0.45">
      <c r="A355" s="1">
        <v>45789</v>
      </c>
      <c r="B355">
        <v>0.84486997127533003</v>
      </c>
      <c r="C355">
        <v>1.1836140873731154</v>
      </c>
    </row>
    <row r="356" spans="1:3" x14ac:dyDescent="0.45">
      <c r="A356" s="1">
        <v>45790</v>
      </c>
      <c r="B356">
        <v>0.83942997455596902</v>
      </c>
      <c r="C356">
        <v>1.1912845982524836</v>
      </c>
    </row>
    <row r="357" spans="1:3" x14ac:dyDescent="0.45">
      <c r="A357" s="1">
        <v>45791</v>
      </c>
      <c r="B357">
        <v>0.84123200178146396</v>
      </c>
      <c r="C357">
        <v>1.1887327133089511</v>
      </c>
    </row>
    <row r="358" spans="1:3" x14ac:dyDescent="0.45">
      <c r="A358" s="1">
        <v>45792</v>
      </c>
      <c r="B358">
        <v>0.83459997177124001</v>
      </c>
      <c r="C358">
        <v>1.1981788087983489</v>
      </c>
    </row>
    <row r="359" spans="1:3" x14ac:dyDescent="0.45">
      <c r="A359" s="1">
        <v>45795</v>
      </c>
      <c r="B359">
        <v>0.83544999361038197</v>
      </c>
      <c r="C359">
        <v>1.1969597314598306</v>
      </c>
    </row>
    <row r="360" spans="1:3" x14ac:dyDescent="0.45">
      <c r="A360" s="1">
        <v>45796</v>
      </c>
      <c r="B360">
        <v>0.83499002456664995</v>
      </c>
      <c r="C360">
        <v>1.1976190979275332</v>
      </c>
    </row>
    <row r="361" spans="1:3" x14ac:dyDescent="0.45">
      <c r="A361" s="1">
        <v>45797</v>
      </c>
      <c r="B361">
        <v>0.82671201229095503</v>
      </c>
      <c r="C361">
        <v>1.2096110678600587</v>
      </c>
    </row>
    <row r="362" spans="1:3" x14ac:dyDescent="0.45">
      <c r="A362" s="1">
        <v>45798</v>
      </c>
      <c r="B362">
        <v>0.82507002353668202</v>
      </c>
      <c r="C362">
        <v>1.2120183396234376</v>
      </c>
    </row>
    <row r="363" spans="1:3" x14ac:dyDescent="0.45">
      <c r="A363" s="1">
        <v>45799</v>
      </c>
      <c r="B363">
        <v>0.82837998867034901</v>
      </c>
      <c r="C363">
        <v>1.2071754673904207</v>
      </c>
    </row>
    <row r="364" spans="1:3" x14ac:dyDescent="0.45">
      <c r="A364" s="1">
        <v>45802</v>
      </c>
      <c r="B364">
        <v>0.822409987449646</v>
      </c>
      <c r="C364">
        <v>1.2159385407041003</v>
      </c>
    </row>
    <row r="365" spans="1:3" x14ac:dyDescent="0.45">
      <c r="A365" s="1">
        <v>45803</v>
      </c>
      <c r="B365">
        <v>0.82042002677917503</v>
      </c>
      <c r="C365">
        <v>1.2188878469066928</v>
      </c>
    </row>
    <row r="366" spans="1:3" x14ac:dyDescent="0.45">
      <c r="A366" s="1">
        <v>45804</v>
      </c>
      <c r="B366">
        <v>0.82726001739501998</v>
      </c>
      <c r="C366">
        <v>1.2088097804471747</v>
      </c>
    </row>
    <row r="367" spans="1:3" x14ac:dyDescent="0.45">
      <c r="A367" s="1">
        <v>45805</v>
      </c>
      <c r="B367">
        <v>0.83254998922348</v>
      </c>
      <c r="C367">
        <v>1.2011290768650429</v>
      </c>
    </row>
    <row r="368" spans="1:3" x14ac:dyDescent="0.45">
      <c r="A368" s="1">
        <v>45806</v>
      </c>
      <c r="B368">
        <v>0.82196998596191395</v>
      </c>
      <c r="C368">
        <v>1.2165894340165544</v>
      </c>
    </row>
    <row r="369" spans="1:3" x14ac:dyDescent="0.45">
      <c r="A369" s="1">
        <v>45809</v>
      </c>
      <c r="B369">
        <v>0.82226997613906905</v>
      </c>
      <c r="C369">
        <v>1.2161455835897768</v>
      </c>
    </row>
    <row r="370" spans="1:3" x14ac:dyDescent="0.45">
      <c r="A370" s="1">
        <v>45810</v>
      </c>
      <c r="B370">
        <v>0.81594002246856701</v>
      </c>
      <c r="C370">
        <v>1.2255802785290186</v>
      </c>
    </row>
    <row r="371" spans="1:3" x14ac:dyDescent="0.45">
      <c r="A371" s="1">
        <v>45811</v>
      </c>
      <c r="B371">
        <v>0.82288998365402199</v>
      </c>
      <c r="C371">
        <v>1.2152292771380271</v>
      </c>
    </row>
    <row r="372" spans="1:3" x14ac:dyDescent="0.45">
      <c r="A372" s="1">
        <v>45812</v>
      </c>
      <c r="B372">
        <v>0.81796997785568204</v>
      </c>
      <c r="C372">
        <v>1.2225387570109991</v>
      </c>
    </row>
    <row r="373" spans="1:3" x14ac:dyDescent="0.45">
      <c r="A373" s="1">
        <v>45813</v>
      </c>
      <c r="B373">
        <v>0.819249987602234</v>
      </c>
      <c r="C373">
        <v>1.220628642213083</v>
      </c>
    </row>
    <row r="374" spans="1:3" x14ac:dyDescent="0.45">
      <c r="A374" s="1">
        <v>45816</v>
      </c>
      <c r="B374">
        <v>0.82125997543335005</v>
      </c>
      <c r="C374">
        <v>1.2176412219192043</v>
      </c>
    </row>
    <row r="375" spans="1:3" x14ac:dyDescent="0.45">
      <c r="A375" s="1">
        <v>45817</v>
      </c>
      <c r="B375">
        <v>0.82120001316070601</v>
      </c>
      <c r="C375">
        <v>1.217730131482966</v>
      </c>
    </row>
    <row r="376" spans="1:3" x14ac:dyDescent="0.45">
      <c r="A376" s="1">
        <v>45818</v>
      </c>
      <c r="B376">
        <v>0.82191997766494795</v>
      </c>
      <c r="C376">
        <v>1.2166634552927797</v>
      </c>
    </row>
    <row r="377" spans="1:3" x14ac:dyDescent="0.45">
      <c r="A377" s="1">
        <v>45819</v>
      </c>
      <c r="B377">
        <v>0.81840002536773704</v>
      </c>
      <c r="C377">
        <v>1.2218963453118949</v>
      </c>
    </row>
    <row r="378" spans="1:3" x14ac:dyDescent="0.45">
      <c r="A378" s="1">
        <v>45820</v>
      </c>
      <c r="B378">
        <v>0.80900001525878895</v>
      </c>
      <c r="C378">
        <v>1.2360939198253447</v>
      </c>
    </row>
    <row r="379" spans="1:3" x14ac:dyDescent="0.45">
      <c r="A379" s="1">
        <v>45823</v>
      </c>
      <c r="B379">
        <v>0.81221598386764504</v>
      </c>
      <c r="C379">
        <v>1.2311996068313713</v>
      </c>
    </row>
    <row r="380" spans="1:3" x14ac:dyDescent="0.45">
      <c r="A380" s="1">
        <v>45824</v>
      </c>
      <c r="B380">
        <v>0.81370997428893999</v>
      </c>
      <c r="C380">
        <v>1.2289390957433568</v>
      </c>
    </row>
    <row r="381" spans="1:3" x14ac:dyDescent="0.45">
      <c r="A381" s="1">
        <v>45825</v>
      </c>
      <c r="B381">
        <v>0.81686997413635298</v>
      </c>
      <c r="C381">
        <v>1.2241850375970347</v>
      </c>
    </row>
    <row r="382" spans="1:3" x14ac:dyDescent="0.45">
      <c r="A382" s="1">
        <v>45826</v>
      </c>
      <c r="B382">
        <v>0.81906002759933505</v>
      </c>
      <c r="C382">
        <v>1.220911735774727</v>
      </c>
    </row>
    <row r="383" spans="1:3" x14ac:dyDescent="0.45">
      <c r="A383" s="1">
        <v>45827</v>
      </c>
      <c r="B383">
        <v>0.81638997793197599</v>
      </c>
      <c r="C383">
        <v>1.2249047967653064</v>
      </c>
    </row>
    <row r="384" spans="1:3" x14ac:dyDescent="0.45">
      <c r="A384" s="1">
        <v>45830</v>
      </c>
      <c r="B384">
        <v>0.81774997711181596</v>
      </c>
      <c r="C384">
        <v>1.2228676588067502</v>
      </c>
    </row>
    <row r="385" spans="1:3" x14ac:dyDescent="0.45">
      <c r="A385" s="1">
        <v>45831</v>
      </c>
      <c r="B385">
        <v>0.81257998943328902</v>
      </c>
      <c r="C385">
        <v>1.2306480752712379</v>
      </c>
    </row>
    <row r="386" spans="1:3" x14ac:dyDescent="0.45">
      <c r="A386" s="1">
        <v>45832</v>
      </c>
      <c r="B386">
        <v>0.80514997243881203</v>
      </c>
      <c r="C386">
        <v>1.2420046379322154</v>
      </c>
    </row>
    <row r="387" spans="1:3" x14ac:dyDescent="0.45">
      <c r="A387" s="1">
        <v>45833</v>
      </c>
      <c r="B387">
        <v>0.80373001098632801</v>
      </c>
      <c r="C387">
        <v>1.2441989055165574</v>
      </c>
    </row>
    <row r="388" spans="1:3" x14ac:dyDescent="0.45">
      <c r="A388" s="1">
        <v>45834</v>
      </c>
      <c r="B388">
        <v>0.80089002847671498</v>
      </c>
      <c r="C388">
        <v>1.24861087595508</v>
      </c>
    </row>
    <row r="389" spans="1:3" x14ac:dyDescent="0.45">
      <c r="A389" s="1">
        <v>45837</v>
      </c>
      <c r="B389">
        <v>0.79825001955032304</v>
      </c>
      <c r="C389">
        <v>1.2527403388769454</v>
      </c>
    </row>
    <row r="390" spans="1:3" x14ac:dyDescent="0.45">
      <c r="A390" s="1">
        <v>45838</v>
      </c>
      <c r="B390">
        <v>0.79272001981735196</v>
      </c>
      <c r="C390">
        <v>1.2614794315783859</v>
      </c>
    </row>
    <row r="391" spans="1:3" x14ac:dyDescent="0.45">
      <c r="A391" s="1">
        <v>45839</v>
      </c>
      <c r="B391">
        <v>0.79069000482559204</v>
      </c>
      <c r="C391">
        <v>1.2647181498399958</v>
      </c>
    </row>
    <row r="392" spans="1:3" x14ac:dyDescent="0.45">
      <c r="A392" s="1">
        <v>45840</v>
      </c>
      <c r="B392">
        <v>0.79149997234344505</v>
      </c>
      <c r="C392">
        <v>1.2634239228578057</v>
      </c>
    </row>
    <row r="393" spans="1:3" x14ac:dyDescent="0.45">
      <c r="A393" s="1">
        <v>45841</v>
      </c>
      <c r="B393">
        <v>0.79409998655319203</v>
      </c>
      <c r="C393">
        <v>1.2592872647442312</v>
      </c>
    </row>
    <row r="394" spans="1:3" x14ac:dyDescent="0.45">
      <c r="A394" s="1">
        <v>45844</v>
      </c>
      <c r="B394">
        <v>0.79404002428054798</v>
      </c>
      <c r="C394">
        <v>1.2593823603615764</v>
      </c>
    </row>
    <row r="395" spans="1:3" x14ac:dyDescent="0.45">
      <c r="A395" s="1">
        <v>45845</v>
      </c>
      <c r="B395">
        <v>0.79716002941131603</v>
      </c>
      <c r="C395">
        <v>1.2544532629646228</v>
      </c>
    </row>
    <row r="396" spans="1:3" x14ac:dyDescent="0.45">
      <c r="A396" s="1">
        <v>45846</v>
      </c>
      <c r="B396">
        <v>0.79587000608444203</v>
      </c>
      <c r="C396">
        <v>1.2564866025292825</v>
      </c>
    </row>
    <row r="397" spans="1:3" x14ac:dyDescent="0.45">
      <c r="A397" s="1">
        <v>45847</v>
      </c>
      <c r="B397">
        <v>0.792930006980896</v>
      </c>
      <c r="C397">
        <v>1.2611453611240278</v>
      </c>
    </row>
    <row r="398" spans="1:3" x14ac:dyDescent="0.45">
      <c r="A398" s="1">
        <v>45848</v>
      </c>
      <c r="B398">
        <v>0.79672002792358398</v>
      </c>
      <c r="C398">
        <v>1.2551460550153426</v>
      </c>
    </row>
    <row r="399" spans="1:3" x14ac:dyDescent="0.45">
      <c r="A399" s="1">
        <v>45851</v>
      </c>
      <c r="B399">
        <v>0.79679000377654996</v>
      </c>
      <c r="C399">
        <v>1.2550358253244827</v>
      </c>
    </row>
    <row r="400" spans="1:3" x14ac:dyDescent="0.45">
      <c r="A400" s="1">
        <v>45852</v>
      </c>
      <c r="B400">
        <v>0.79786998033523604</v>
      </c>
      <c r="C400">
        <v>1.2533370406790292</v>
      </c>
    </row>
    <row r="401" spans="1:3" x14ac:dyDescent="0.45">
      <c r="A401" s="1">
        <v>45853</v>
      </c>
      <c r="B401">
        <v>0.80141997337341297</v>
      </c>
      <c r="C401">
        <v>1.2477852227599284</v>
      </c>
    </row>
    <row r="402" spans="1:3" x14ac:dyDescent="0.45">
      <c r="A402" s="1">
        <v>45854</v>
      </c>
      <c r="B402">
        <v>0.800920009613037</v>
      </c>
      <c r="C402">
        <v>1.2485641362402071</v>
      </c>
    </row>
    <row r="403" spans="1:3" x14ac:dyDescent="0.45">
      <c r="A403" s="1">
        <v>45855</v>
      </c>
      <c r="B403">
        <v>0.80287998914718595</v>
      </c>
      <c r="C403">
        <v>1.245516158725283</v>
      </c>
    </row>
    <row r="404" spans="1:3" x14ac:dyDescent="0.45">
      <c r="A404" s="1">
        <v>45858</v>
      </c>
      <c r="B404">
        <v>0.80118000507354703</v>
      </c>
      <c r="C404">
        <v>1.2481589576217664</v>
      </c>
    </row>
    <row r="405" spans="1:3" x14ac:dyDescent="0.45">
      <c r="A405" s="1">
        <v>45859</v>
      </c>
      <c r="B405">
        <v>0.79808402061462402</v>
      </c>
      <c r="C405">
        <v>1.2530009048795083</v>
      </c>
    </row>
    <row r="406" spans="1:3" x14ac:dyDescent="0.45">
      <c r="A406" s="1">
        <v>45860</v>
      </c>
      <c r="B406">
        <v>0.79363000392913796</v>
      </c>
      <c r="C406">
        <v>1.2600330066267107</v>
      </c>
    </row>
    <row r="407" spans="1:3" x14ac:dyDescent="0.45">
      <c r="A407" s="1">
        <v>45861</v>
      </c>
      <c r="B407">
        <v>0.79204702377319303</v>
      </c>
      <c r="C407">
        <v>1.2625513005984799</v>
      </c>
    </row>
    <row r="408" spans="1:3" x14ac:dyDescent="0.45">
      <c r="A408" s="1">
        <v>45862</v>
      </c>
      <c r="B408">
        <v>0.79487001895904497</v>
      </c>
      <c r="C408">
        <v>1.2580673269191753</v>
      </c>
    </row>
    <row r="409" spans="1:3" x14ac:dyDescent="0.45">
      <c r="A409" s="1">
        <v>45865</v>
      </c>
      <c r="B409">
        <v>0.79536998271942105</v>
      </c>
      <c r="C409">
        <v>1.257276514988579</v>
      </c>
    </row>
    <row r="410" spans="1:3" x14ac:dyDescent="0.45">
      <c r="A410" s="1">
        <v>45866</v>
      </c>
      <c r="B410">
        <v>0.80309998989105202</v>
      </c>
      <c r="C410">
        <v>1.2451749627535911</v>
      </c>
    </row>
    <row r="411" spans="1:3" x14ac:dyDescent="0.45">
      <c r="A411" s="1">
        <v>45867</v>
      </c>
      <c r="B411">
        <v>0.805469989776611</v>
      </c>
      <c r="C411">
        <v>1.2415111831507712</v>
      </c>
    </row>
    <row r="412" spans="1:3" x14ac:dyDescent="0.45">
      <c r="A412" s="1">
        <v>45868</v>
      </c>
      <c r="B412">
        <v>0.81321001052856401</v>
      </c>
      <c r="C412">
        <v>1.229694650893473</v>
      </c>
    </row>
    <row r="413" spans="1:3" x14ac:dyDescent="0.45">
      <c r="A413" s="1">
        <v>45869</v>
      </c>
      <c r="B413">
        <v>0.81389999389648404</v>
      </c>
      <c r="C413">
        <v>1.2286521777848607</v>
      </c>
    </row>
    <row r="414" spans="1:3" x14ac:dyDescent="0.45">
      <c r="A414" s="1">
        <v>45872</v>
      </c>
      <c r="B414">
        <v>0.80400997400283802</v>
      </c>
      <c r="C414">
        <v>1.2437656650220488</v>
      </c>
    </row>
    <row r="415" spans="1:3" x14ac:dyDescent="0.45">
      <c r="A415" s="1">
        <v>45873</v>
      </c>
      <c r="B415">
        <v>0.807089984416962</v>
      </c>
      <c r="C415">
        <v>1.2390192163298808</v>
      </c>
    </row>
    <row r="416" spans="1:3" x14ac:dyDescent="0.45">
      <c r="A416" s="1">
        <v>45874</v>
      </c>
      <c r="B416">
        <v>0.80691999197006203</v>
      </c>
      <c r="C416">
        <v>1.2392802383772163</v>
      </c>
    </row>
    <row r="417" spans="1:3" x14ac:dyDescent="0.45">
      <c r="A417" s="1">
        <v>45875</v>
      </c>
      <c r="B417">
        <v>0.80605000257492099</v>
      </c>
      <c r="C417">
        <v>1.2406178237150389</v>
      </c>
    </row>
    <row r="418" spans="1:3" x14ac:dyDescent="0.45">
      <c r="A418" s="1">
        <v>45876</v>
      </c>
      <c r="B418">
        <v>0.80568999052047696</v>
      </c>
      <c r="C418">
        <v>1.241172177594013</v>
      </c>
    </row>
    <row r="419" spans="1:3" x14ac:dyDescent="0.45">
      <c r="A419" s="1">
        <v>45879</v>
      </c>
      <c r="B419">
        <v>0.80747002363205</v>
      </c>
      <c r="C419">
        <v>1.2384360666442307</v>
      </c>
    </row>
    <row r="420" spans="1:3" x14ac:dyDescent="0.45">
      <c r="A420" s="1">
        <v>45880</v>
      </c>
      <c r="B420">
        <v>0.81180000305175803</v>
      </c>
      <c r="C420">
        <v>1.231830495492426</v>
      </c>
    </row>
    <row r="421" spans="1:3" x14ac:dyDescent="0.45">
      <c r="A421" s="1">
        <v>45881</v>
      </c>
      <c r="B421">
        <v>0.80614000558853105</v>
      </c>
      <c r="C421">
        <v>1.2404793126101457</v>
      </c>
    </row>
    <row r="422" spans="1:3" x14ac:dyDescent="0.45">
      <c r="A422" s="1">
        <v>45882</v>
      </c>
      <c r="B422">
        <v>0.80471998453140303</v>
      </c>
      <c r="C422">
        <v>1.2426682811690213</v>
      </c>
    </row>
    <row r="423" spans="1:3" x14ac:dyDescent="0.45">
      <c r="A423" s="1">
        <v>45883</v>
      </c>
      <c r="B423">
        <v>0.807519972324371</v>
      </c>
      <c r="C423">
        <v>1.2383594638799993</v>
      </c>
    </row>
    <row r="424" spans="1:3" x14ac:dyDescent="0.45">
      <c r="A424" s="1">
        <v>45886</v>
      </c>
      <c r="B424">
        <v>0.80659997463226296</v>
      </c>
      <c r="C424">
        <v>1.2397719209648006</v>
      </c>
    </row>
    <row r="425" spans="1:3" x14ac:dyDescent="0.45">
      <c r="A425" s="1">
        <v>45887</v>
      </c>
      <c r="B425">
        <v>0.80741000175476096</v>
      </c>
      <c r="C425">
        <v>1.2385281304748259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USDJPY</vt:lpstr>
      <vt:lpstr>CHF</vt:lpstr>
      <vt:lpstr>VaR con 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ppmel</dc:creator>
  <cp:lastModifiedBy>MELCHOR SOTO, JOSE ARMANDO</cp:lastModifiedBy>
  <dcterms:created xsi:type="dcterms:W3CDTF">2025-08-21T03:11:02Z</dcterms:created>
  <dcterms:modified xsi:type="dcterms:W3CDTF">2025-08-26T13:11:53Z</dcterms:modified>
</cp:coreProperties>
</file>